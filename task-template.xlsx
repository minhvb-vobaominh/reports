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Team Config" sheetId="2" state="visible" r:id="rId2"/>
    <sheet xmlns:r="http://schemas.openxmlformats.org/officeDocument/2006/relationships" name="Naming Convention" sheetId="3" state="visible" r:id="rId3"/>
    <sheet xmlns:r="http://schemas.openxmlformats.org/officeDocument/2006/relationships" name="Dashboard Summary" sheetId="4" state="visible" r:id="rId4"/>
    <sheet xmlns:r="http://schemas.openxmlformats.org/officeDocument/2006/relationships" name="CR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Segoe UI"/>
      <b val="1"/>
      <color rgb="001B2A4A"/>
      <sz val="14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2A4A"/>
      <sz val="13"/>
    </font>
    <font>
      <name val="Segoe UI"/>
      <b val="1"/>
      <color rgb="00DC2626"/>
      <sz val="12"/>
    </font>
    <font>
      <name val="Segoe UI"/>
      <b val="1"/>
      <sz val="10"/>
    </font>
    <font>
      <name val="Segoe UI"/>
      <b val="1"/>
      <color rgb="00EA6C1A"/>
      <sz val="10"/>
    </font>
    <font>
      <name val="Segoe UI"/>
      <b val="1"/>
      <color rgb="001B2A4A"/>
      <sz val="12"/>
    </font>
    <font>
      <name val="Segoe UI"/>
      <i val="1"/>
      <color rgb="0064748B"/>
      <sz val="9"/>
    </font>
    <font>
      <name val="Segoe UI"/>
      <b val="1"/>
      <color rgb="00333333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1D4ED8"/>
      <sz val="10"/>
    </font>
    <font>
      <name val="Segoe UI"/>
      <color rgb="00CBD5E1"/>
      <sz val="10"/>
    </font>
    <font>
      <name val="Segoe UI"/>
      <b val="1"/>
      <color rgb="001B2A4A"/>
      <sz val="11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right style="thin">
        <color rgb="00D0D9E8"/>
      </right>
      <bottom style="thin">
        <color rgb="00D0D9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P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16" customWidth="1" min="4" max="4"/>
    <col width="14" customWidth="1" min="5" max="5"/>
    <col width="10" customWidth="1" min="6" max="6"/>
    <col width="12" customWidth="1" min="7" max="7"/>
    <col width="12" customWidth="1" min="8" max="8"/>
    <col width="14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20" customWidth="1" min="15" max="15"/>
    <col width="30" customWidth="1" min="16" max="16"/>
  </cols>
  <sheetData>
    <row r="1" ht="36" customHeight="1">
      <c r="A1" s="1" t="inlineStr">
        <is>
          <t>IT Department — Cross-Team Task Tracker 2026</t>
        </is>
      </c>
    </row>
    <row r="2" ht="28" customHeight="1">
      <c r="A2" s="2" t="inlineStr">
        <is>
          <t>Request ID</t>
        </is>
      </c>
      <c r="B2" s="2" t="inlineStr">
        <is>
          <t>Task ID</t>
        </is>
      </c>
      <c r="C2" s="2" t="inlineStr">
        <is>
          <t>Task Name</t>
        </is>
      </c>
      <c r="D2" s="2" t="inlineStr">
        <is>
          <t>Team</t>
        </is>
      </c>
      <c r="E2" s="2" t="inlineStr">
        <is>
          <t>Category</t>
        </is>
      </c>
      <c r="F2" s="2" t="inlineStr">
        <is>
          <t>Dept Tag</t>
        </is>
      </c>
      <c r="G2" s="2" t="inlineStr">
        <is>
          <t>Priority</t>
        </is>
      </c>
      <c r="H2" s="2" t="inlineStr">
        <is>
          <t>Status</t>
        </is>
      </c>
      <c r="I2" s="2" t="inlineStr">
        <is>
          <t>Phase</t>
        </is>
      </c>
      <c r="J2" s="2" t="inlineStr">
        <is>
          <t>Assignee</t>
        </is>
      </c>
      <c r="K2" s="2" t="inlineStr">
        <is>
          <t>Team Lead</t>
        </is>
      </c>
      <c r="L2" s="2" t="inlineStr">
        <is>
          <t>Created Date</t>
        </is>
      </c>
      <c r="M2" s="2" t="inlineStr">
        <is>
          <t>Deadline</t>
        </is>
      </c>
      <c r="N2" s="2" t="inlineStr">
        <is>
          <t>Completed Date</t>
        </is>
      </c>
      <c r="O2" s="2" t="inlineStr">
        <is>
          <t>Dependencies</t>
        </is>
      </c>
      <c r="P2" s="2" t="inlineStr">
        <is>
          <t>Notes</t>
        </is>
      </c>
    </row>
    <row r="3" ht="24" customHeight="1">
      <c r="A3" s="3" t="inlineStr">
        <is>
          <t>2275303</t>
        </is>
      </c>
      <c r="B3" s="3" t="inlineStr">
        <is>
          <t>9739429</t>
        </is>
      </c>
      <c r="C3" s="4" t="inlineStr">
        <is>
          <t>[CR] [2275303] [SS] Enhance securities depository — Mobile UI</t>
        </is>
      </c>
      <c r="D3" s="3" t="inlineStr">
        <is>
          <t>Team Mobile</t>
        </is>
      </c>
      <c r="E3" s="3" t="inlineStr">
        <is>
          <t>CR</t>
        </is>
      </c>
      <c r="F3" s="3" t="inlineStr">
        <is>
          <t>SS</t>
        </is>
      </c>
      <c r="G3" s="3" t="inlineStr">
        <is>
          <t>High</t>
        </is>
      </c>
      <c r="H3" s="3" t="inlineStr">
        <is>
          <t>Overdue</t>
        </is>
      </c>
      <c r="I3" s="3" t="inlineStr">
        <is>
          <t>Q2</t>
        </is>
      </c>
      <c r="J3" s="3" t="inlineStr">
        <is>
          <t>mobile_dev_1</t>
        </is>
      </c>
      <c r="K3" s="3" t="inlineStr">
        <is>
          <t>phongvo@phs.vn</t>
        </is>
      </c>
      <c r="L3" s="3" t="inlineStr">
        <is>
          <t>03/03/2026</t>
        </is>
      </c>
      <c r="M3" s="3" t="inlineStr">
        <is>
          <t>26/05/2026</t>
        </is>
      </c>
      <c r="N3" s="3" t="inlineStr"/>
      <c r="O3" s="4" t="inlineStr">
        <is>
          <t>2275303</t>
        </is>
      </c>
      <c r="P3" s="4" t="inlineStr">
        <is>
          <t>Waiting for MW API</t>
        </is>
      </c>
    </row>
    <row r="4" ht="24" customHeight="1">
      <c r="A4" s="3" t="inlineStr">
        <is>
          <t>2275303</t>
        </is>
      </c>
      <c r="B4" s="3" t="inlineStr">
        <is>
          <t>9956507</t>
        </is>
      </c>
      <c r="C4" s="4" t="inlineStr">
        <is>
          <t>[CR] [2275303] [SS] Enhance securities depository — Web Admin</t>
        </is>
      </c>
      <c r="D4" s="3" t="inlineStr">
        <is>
          <t>Dev Team B</t>
        </is>
      </c>
      <c r="E4" s="3" t="inlineStr">
        <is>
          <t>CR</t>
        </is>
      </c>
      <c r="F4" s="3" t="inlineStr">
        <is>
          <t>SS</t>
        </is>
      </c>
      <c r="G4" s="3" t="inlineStr">
        <is>
          <t>High</t>
        </is>
      </c>
      <c r="H4" s="3" t="inlineStr">
        <is>
          <t>Done</t>
        </is>
      </c>
      <c r="I4" s="3" t="inlineStr">
        <is>
          <t>Q2</t>
        </is>
      </c>
      <c r="J4" s="3" t="inlineStr">
        <is>
          <t>devb_dev_1</t>
        </is>
      </c>
      <c r="K4" s="3" t="inlineStr">
        <is>
          <t>minhvo@phs.vn</t>
        </is>
      </c>
      <c r="L4" s="3" t="inlineStr">
        <is>
          <t>14/04/2026</t>
        </is>
      </c>
      <c r="M4" s="3" t="inlineStr">
        <is>
          <t>04/05/2026</t>
        </is>
      </c>
      <c r="N4" s="3" t="inlineStr">
        <is>
          <t>05/05/2026</t>
        </is>
      </c>
      <c r="O4" s="4" t="inlineStr">
        <is>
          <t>2275303</t>
        </is>
      </c>
      <c r="P4" s="4" t="inlineStr"/>
    </row>
    <row r="5" ht="24" customHeight="1">
      <c r="A5" s="3" t="inlineStr">
        <is>
          <t>2275303</t>
        </is>
      </c>
      <c r="B5" s="3" t="inlineStr">
        <is>
          <t>10090293</t>
        </is>
      </c>
      <c r="C5" s="4" t="inlineStr">
        <is>
          <t>[CR] [2275303] [DTD] [No.1-2026] Enhance securities depository — Middleware API</t>
        </is>
      </c>
      <c r="D5" s="3" t="inlineStr">
        <is>
          <t>MW Team</t>
        </is>
      </c>
      <c r="E5" s="3" t="inlineStr">
        <is>
          <t>CR</t>
        </is>
      </c>
      <c r="F5" s="3" t="inlineStr">
        <is>
          <t>DTD</t>
        </is>
      </c>
      <c r="G5" s="3" t="inlineStr">
        <is>
          <t>High</t>
        </is>
      </c>
      <c r="H5" s="3" t="inlineStr">
        <is>
          <t>Doing</t>
        </is>
      </c>
      <c r="I5" s="3" t="inlineStr">
        <is>
          <t>Q2</t>
        </is>
      </c>
      <c r="J5" s="3" t="inlineStr">
        <is>
          <t>mw_dev_1</t>
        </is>
      </c>
      <c r="K5" s="3" t="inlineStr">
        <is>
          <t>huunguyen@phs.vn</t>
        </is>
      </c>
      <c r="L5" s="3" t="inlineStr">
        <is>
          <t>12/05/2026</t>
        </is>
      </c>
      <c r="M5" s="3" t="inlineStr"/>
      <c r="N5" s="3" t="inlineStr"/>
      <c r="O5" s="4" t="inlineStr"/>
      <c r="P5" s="4" t="inlineStr">
        <is>
          <t>Upstream dependency for Mobile</t>
        </is>
      </c>
    </row>
    <row r="6" ht="24" customHeight="1">
      <c r="A6" s="3" t="inlineStr">
        <is>
          <t>2084592</t>
        </is>
      </c>
      <c r="B6" s="3" t="inlineStr">
        <is>
          <t>9739419</t>
        </is>
      </c>
      <c r="C6" s="4" t="inlineStr">
        <is>
          <t>[CR] [2084592] [RMD] Special interest rate on FLEX — Mobile UI</t>
        </is>
      </c>
      <c r="D6" s="3" t="inlineStr">
        <is>
          <t>Team Mobile</t>
        </is>
      </c>
      <c r="E6" s="3" t="inlineStr">
        <is>
          <t>CR</t>
        </is>
      </c>
      <c r="F6" s="3" t="inlineStr">
        <is>
          <t>RMD</t>
        </is>
      </c>
      <c r="G6" s="3" t="inlineStr">
        <is>
          <t>Critical</t>
        </is>
      </c>
      <c r="H6" s="3" t="inlineStr">
        <is>
          <t>Overdue</t>
        </is>
      </c>
      <c r="I6" s="3" t="inlineStr">
        <is>
          <t>Q2</t>
        </is>
      </c>
      <c r="J6" s="3" t="inlineStr">
        <is>
          <t>mobile_dev_2</t>
        </is>
      </c>
      <c r="K6" s="3" t="inlineStr">
        <is>
          <t>phongvo@phs.vn</t>
        </is>
      </c>
      <c r="L6" s="3" t="inlineStr">
        <is>
          <t>03/03/2026</t>
        </is>
      </c>
      <c r="M6" s="3" t="inlineStr">
        <is>
          <t>31/05/2026</t>
        </is>
      </c>
      <c r="N6" s="3" t="inlineStr"/>
      <c r="O6" s="4" t="inlineStr">
        <is>
          <t>2084592</t>
        </is>
      </c>
      <c r="P6" s="4" t="inlineStr">
        <is>
          <t>Blocked by 3rd-party FLEX</t>
        </is>
      </c>
    </row>
    <row r="7" ht="24" customHeight="1">
      <c r="A7" s="3" t="inlineStr">
        <is>
          <t>2084592</t>
        </is>
      </c>
      <c r="B7" s="3" t="inlineStr">
        <is>
          <t>9956972</t>
        </is>
      </c>
      <c r="C7" s="4" t="inlineStr">
        <is>
          <t>[CR] [2084592] [RMD] Special interest rate — Web Portal</t>
        </is>
      </c>
      <c r="D7" s="3" t="inlineStr">
        <is>
          <t>Dev Team B</t>
        </is>
      </c>
      <c r="E7" s="3" t="inlineStr">
        <is>
          <t>CR</t>
        </is>
      </c>
      <c r="F7" s="3" t="inlineStr">
        <is>
          <t>RMD</t>
        </is>
      </c>
      <c r="G7" s="3" t="inlineStr">
        <is>
          <t>Critical</t>
        </is>
      </c>
      <c r="H7" s="3" t="inlineStr">
        <is>
          <t>Doing</t>
        </is>
      </c>
      <c r="I7" s="3" t="inlineStr">
        <is>
          <t>Q2</t>
        </is>
      </c>
      <c r="J7" s="3" t="inlineStr">
        <is>
          <t>devb_dev_2</t>
        </is>
      </c>
      <c r="K7" s="3" t="inlineStr">
        <is>
          <t>minhvo@phs.vn</t>
        </is>
      </c>
      <c r="L7" s="3" t="inlineStr">
        <is>
          <t>14/04/2026</t>
        </is>
      </c>
      <c r="M7" s="3" t="inlineStr"/>
      <c r="N7" s="3" t="inlineStr"/>
      <c r="O7" s="4" t="inlineStr">
        <is>
          <t>2084592</t>
        </is>
      </c>
      <c r="P7" s="4" t="inlineStr">
        <is>
          <t>Needs deadline</t>
        </is>
      </c>
    </row>
    <row r="8" ht="24" customHeight="1">
      <c r="A8" s="3" t="inlineStr">
        <is>
          <t>2084592</t>
        </is>
      </c>
      <c r="B8" s="3" t="inlineStr">
        <is>
          <t>10090209</t>
        </is>
      </c>
      <c r="C8" s="4" t="inlineStr">
        <is>
          <t>[CR] [2084592] [RMD] [No.10-2025] Special interest rate — Middleware</t>
        </is>
      </c>
      <c r="D8" s="3" t="inlineStr">
        <is>
          <t>MW Team</t>
        </is>
      </c>
      <c r="E8" s="3" t="inlineStr">
        <is>
          <t>CR</t>
        </is>
      </c>
      <c r="F8" s="3" t="inlineStr">
        <is>
          <t>RMD</t>
        </is>
      </c>
      <c r="G8" s="3" t="inlineStr">
        <is>
          <t>Critical</t>
        </is>
      </c>
      <c r="H8" s="3" t="inlineStr">
        <is>
          <t>Doing</t>
        </is>
      </c>
      <c r="I8" s="3" t="inlineStr">
        <is>
          <t>Q2</t>
        </is>
      </c>
      <c r="J8" s="3" t="inlineStr">
        <is>
          <t>mw_dev_2</t>
        </is>
      </c>
      <c r="K8" s="3" t="inlineStr">
        <is>
          <t>huunguyen@phs.vn</t>
        </is>
      </c>
      <c r="L8" s="3" t="inlineStr">
        <is>
          <t>12/05/2026</t>
        </is>
      </c>
      <c r="M8" s="3" t="inlineStr"/>
      <c r="N8" s="3" t="inlineStr"/>
      <c r="O8" s="4" t="inlineStr"/>
      <c r="P8" s="4" t="inlineStr">
        <is>
          <t>Carryover from 2025</t>
        </is>
      </c>
    </row>
    <row r="9" ht="24" customHeight="1">
      <c r="A9" s="3" t="inlineStr">
        <is>
          <t>2400155</t>
        </is>
      </c>
      <c r="B9" s="3" t="inlineStr">
        <is>
          <t>9953677</t>
        </is>
      </c>
      <c r="C9" s="4" t="inlineStr">
        <is>
          <t>[CR] [2400155] [MKT] Mission Tracking Page — Mobile App</t>
        </is>
      </c>
      <c r="D9" s="3" t="inlineStr">
        <is>
          <t>Team Mobile</t>
        </is>
      </c>
      <c r="E9" s="3" t="inlineStr">
        <is>
          <t>CR</t>
        </is>
      </c>
      <c r="F9" s="3" t="inlineStr">
        <is>
          <t>MKT</t>
        </is>
      </c>
      <c r="G9" s="3" t="inlineStr">
        <is>
          <t>Medium</t>
        </is>
      </c>
      <c r="H9" s="3" t="inlineStr">
        <is>
          <t>Doing</t>
        </is>
      </c>
      <c r="I9" s="3" t="inlineStr">
        <is>
          <t>Q2</t>
        </is>
      </c>
      <c r="J9" s="3" t="inlineStr">
        <is>
          <t>mobile_dev_3</t>
        </is>
      </c>
      <c r="K9" s="3" t="inlineStr">
        <is>
          <t>phongvo@phs.vn</t>
        </is>
      </c>
      <c r="L9" s="3" t="inlineStr">
        <is>
          <t>13/04/2026</t>
        </is>
      </c>
      <c r="M9" s="3" t="inlineStr">
        <is>
          <t>20/06/2026</t>
        </is>
      </c>
      <c r="N9" s="3" t="inlineStr"/>
      <c r="O9" s="4" t="inlineStr">
        <is>
          <t>2400155</t>
        </is>
      </c>
      <c r="P9" s="4" t="inlineStr"/>
    </row>
    <row r="10" ht="24" customHeight="1">
      <c r="A10" s="3" t="inlineStr">
        <is>
          <t>2400155</t>
        </is>
      </c>
      <c r="B10" s="3" t="inlineStr">
        <is>
          <t>9956961</t>
        </is>
      </c>
      <c r="C10" s="4" t="inlineStr">
        <is>
          <t>[CR] [2400155] [MKT] Mission Tracking Page — Web Backend</t>
        </is>
      </c>
      <c r="D10" s="3" t="inlineStr">
        <is>
          <t>Dev Team B</t>
        </is>
      </c>
      <c r="E10" s="3" t="inlineStr">
        <is>
          <t>CR</t>
        </is>
      </c>
      <c r="F10" s="3" t="inlineStr">
        <is>
          <t>MKT</t>
        </is>
      </c>
      <c r="G10" s="3" t="inlineStr">
        <is>
          <t>Medium</t>
        </is>
      </c>
      <c r="H10" s="3" t="inlineStr">
        <is>
          <t>Doing</t>
        </is>
      </c>
      <c r="I10" s="3" t="inlineStr">
        <is>
          <t>Q2</t>
        </is>
      </c>
      <c r="J10" s="3" t="inlineStr">
        <is>
          <t>devb_dev_1</t>
        </is>
      </c>
      <c r="K10" s="3" t="inlineStr">
        <is>
          <t>minhvo@phs.vn</t>
        </is>
      </c>
      <c r="L10" s="3" t="inlineStr">
        <is>
          <t>14/04/2026</t>
        </is>
      </c>
      <c r="M10" s="3" t="inlineStr"/>
      <c r="N10" s="3" t="inlineStr"/>
      <c r="O10" s="4" t="inlineStr">
        <is>
          <t>2400155</t>
        </is>
      </c>
      <c r="P10" s="4" t="inlineStr">
        <is>
          <t>Needs deadline</t>
        </is>
      </c>
    </row>
    <row r="11" ht="24" customHeight="1">
      <c r="A11" s="3" t="inlineStr">
        <is>
          <t>2149046</t>
        </is>
      </c>
      <c r="B11" s="3" t="inlineStr">
        <is>
          <t>9739414</t>
        </is>
      </c>
      <c r="C11" s="4" t="inlineStr">
        <is>
          <t>[CR] [2149046] [IT] EKYC</t>
        </is>
      </c>
      <c r="D11" s="3" t="inlineStr">
        <is>
          <t>Team Mobile</t>
        </is>
      </c>
      <c r="E11" s="3" t="inlineStr">
        <is>
          <t>CR</t>
        </is>
      </c>
      <c r="F11" s="3" t="inlineStr">
        <is>
          <t>IT</t>
        </is>
      </c>
      <c r="G11" s="3" t="inlineStr">
        <is>
          <t>Critical</t>
        </is>
      </c>
      <c r="H11" s="3" t="inlineStr">
        <is>
          <t>Overdue</t>
        </is>
      </c>
      <c r="I11" s="3" t="inlineStr">
        <is>
          <t>Q2</t>
        </is>
      </c>
      <c r="J11" s="3" t="inlineStr">
        <is>
          <t>mobile_dev_1</t>
        </is>
      </c>
      <c r="K11" s="3" t="inlineStr">
        <is>
          <t>phongvo@phs.vn</t>
        </is>
      </c>
      <c r="L11" s="3" t="inlineStr">
        <is>
          <t>03/03/2026</t>
        </is>
      </c>
      <c r="M11" s="3" t="inlineStr">
        <is>
          <t>22/05/2026</t>
        </is>
      </c>
      <c r="N11" s="3" t="inlineStr"/>
      <c r="O11" s="4" t="inlineStr"/>
      <c r="P11" s="4" t="inlineStr">
        <is>
          <t>EKYC vendor dependency</t>
        </is>
      </c>
    </row>
    <row r="12" ht="24" customHeight="1">
      <c r="A12" s="3" t="inlineStr">
        <is>
          <t>2329940</t>
        </is>
      </c>
      <c r="B12" s="3" t="inlineStr">
        <is>
          <t>9739428</t>
        </is>
      </c>
      <c r="C12" s="4" t="inlineStr">
        <is>
          <t>[CR] [2329940] [RS] AI Chatbot Integration</t>
        </is>
      </c>
      <c r="D12" s="3" t="inlineStr">
        <is>
          <t>Team Mobile</t>
        </is>
      </c>
      <c r="E12" s="3" t="inlineStr">
        <is>
          <t>CR</t>
        </is>
      </c>
      <c r="F12" s="3" t="inlineStr">
        <is>
          <t>RS</t>
        </is>
      </c>
      <c r="G12" s="3" t="inlineStr">
        <is>
          <t>High</t>
        </is>
      </c>
      <c r="H12" s="3" t="inlineStr">
        <is>
          <t>Overdue</t>
        </is>
      </c>
      <c r="I12" s="3" t="inlineStr">
        <is>
          <t>Q2</t>
        </is>
      </c>
      <c r="J12" s="3" t="inlineStr">
        <is>
          <t>TBD</t>
        </is>
      </c>
      <c r="K12" s="3" t="inlineStr">
        <is>
          <t>phongvo@phs.vn</t>
        </is>
      </c>
      <c r="L12" s="3" t="inlineStr">
        <is>
          <t>03/03/2026</t>
        </is>
      </c>
      <c r="M12" s="3" t="inlineStr">
        <is>
          <t>22/05/2026</t>
        </is>
      </c>
      <c r="N12" s="3" t="inlineStr"/>
      <c r="O12" s="4" t="inlineStr"/>
      <c r="P12" s="4" t="inlineStr">
        <is>
          <t>Depends on RS team API</t>
        </is>
      </c>
    </row>
    <row r="13" ht="24" customHeight="1">
      <c r="A13" s="3" t="inlineStr">
        <is>
          <t>2238356</t>
        </is>
      </c>
      <c r="B13" s="3" t="inlineStr">
        <is>
          <t>9739415</t>
        </is>
      </c>
      <c r="C13" s="4" t="inlineStr">
        <is>
          <t>[CR] [2238356] [MSD] ADVANCE MARGIN FOR DERIVATIVES</t>
        </is>
      </c>
      <c r="D13" s="3" t="inlineStr">
        <is>
          <t>Team Mobile</t>
        </is>
      </c>
      <c r="E13" s="3" t="inlineStr">
        <is>
          <t>CR</t>
        </is>
      </c>
      <c r="F13" s="3" t="inlineStr">
        <is>
          <t>MSD</t>
        </is>
      </c>
      <c r="G13" s="3" t="inlineStr">
        <is>
          <t>High</t>
        </is>
      </c>
      <c r="H13" s="3" t="inlineStr">
        <is>
          <t>Overdue</t>
        </is>
      </c>
      <c r="I13" s="3" t="inlineStr">
        <is>
          <t>Q2</t>
        </is>
      </c>
      <c r="J13" s="3" t="inlineStr">
        <is>
          <t>TBD</t>
        </is>
      </c>
      <c r="K13" s="3" t="inlineStr">
        <is>
          <t>phongvo@phs.vn</t>
        </is>
      </c>
      <c r="L13" s="3" t="inlineStr">
        <is>
          <t>03/03/2026</t>
        </is>
      </c>
      <c r="M13" s="3" t="inlineStr">
        <is>
          <t>29/05/2026</t>
        </is>
      </c>
      <c r="N13" s="3" t="inlineStr"/>
      <c r="O13" s="4" t="inlineStr"/>
      <c r="P13" s="4" t="inlineStr"/>
    </row>
    <row r="14" ht="24" customHeight="1">
      <c r="A14" s="3" t="inlineStr">
        <is>
          <t>2222464</t>
        </is>
      </c>
      <c r="B14" s="3" t="inlineStr">
        <is>
          <t>10090302</t>
        </is>
      </c>
      <c r="C14" s="4" t="inlineStr">
        <is>
          <t>[CR] [2222464] [RMD] [No.09-2025] Add sign-in method</t>
        </is>
      </c>
      <c r="D14" s="3" t="inlineStr">
        <is>
          <t>MW Team</t>
        </is>
      </c>
      <c r="E14" s="3" t="inlineStr">
        <is>
          <t>CR</t>
        </is>
      </c>
      <c r="F14" s="3" t="inlineStr">
        <is>
          <t>RMD</t>
        </is>
      </c>
      <c r="G14" s="3" t="inlineStr">
        <is>
          <t>Medium</t>
        </is>
      </c>
      <c r="H14" s="3" t="inlineStr">
        <is>
          <t>Done</t>
        </is>
      </c>
      <c r="I14" s="3" t="inlineStr">
        <is>
          <t>Q2</t>
        </is>
      </c>
      <c r="J14" s="3" t="inlineStr">
        <is>
          <t>mw_dev_1</t>
        </is>
      </c>
      <c r="K14" s="3" t="inlineStr">
        <is>
          <t>huunguyen@phs.vn</t>
        </is>
      </c>
      <c r="L14" s="3" t="inlineStr">
        <is>
          <t>12/05/2026</t>
        </is>
      </c>
      <c r="M14" s="3" t="inlineStr"/>
      <c r="N14" s="3" t="inlineStr">
        <is>
          <t>13/05/2026</t>
        </is>
      </c>
      <c r="O14" s="4" t="inlineStr"/>
      <c r="P14" s="4" t="inlineStr"/>
    </row>
    <row r="15" ht="24" customHeight="1">
      <c r="A15" s="3" t="inlineStr">
        <is>
          <t>2397922</t>
        </is>
      </c>
      <c r="B15" s="3" t="inlineStr">
        <is>
          <t>9953690</t>
        </is>
      </c>
      <c r="C15" s="4" t="inlineStr">
        <is>
          <t>[CR] [2397922] Enhance filter for Elite Fund</t>
        </is>
      </c>
      <c r="D15" s="3" t="inlineStr">
        <is>
          <t>Team Mobile</t>
        </is>
      </c>
      <c r="E15" s="3" t="inlineStr">
        <is>
          <t>CR</t>
        </is>
      </c>
      <c r="F15" s="3" t="inlineStr"/>
      <c r="G15" s="3" t="inlineStr">
        <is>
          <t>Low</t>
        </is>
      </c>
      <c r="H15" s="3" t="inlineStr">
        <is>
          <t>Todo</t>
        </is>
      </c>
      <c r="I15" s="3" t="inlineStr">
        <is>
          <t>Backlog</t>
        </is>
      </c>
      <c r="J15" s="3" t="inlineStr">
        <is>
          <t>TBD</t>
        </is>
      </c>
      <c r="K15" s="3" t="inlineStr">
        <is>
          <t>phongvo@phs.vn</t>
        </is>
      </c>
      <c r="L15" s="3" t="inlineStr">
        <is>
          <t>13/04/2026</t>
        </is>
      </c>
      <c r="M15" s="3" t="inlineStr"/>
      <c r="N15" s="3" t="inlineStr"/>
      <c r="O15" s="4" t="inlineStr"/>
      <c r="P15" s="4" t="inlineStr">
        <is>
          <t>Needs priority &amp; deadline</t>
        </is>
      </c>
    </row>
    <row r="16" ht="24" customHeight="1">
      <c r="A16" s="3" t="inlineStr">
        <is>
          <t>1954732</t>
        </is>
      </c>
      <c r="B16" s="3" t="inlineStr">
        <is>
          <t>10058431</t>
        </is>
      </c>
      <c r="C16" s="4" t="inlineStr">
        <is>
          <t>[CR] [1954732] [HR] HR report automation</t>
        </is>
      </c>
      <c r="D16" s="3" t="inlineStr">
        <is>
          <t>Dev Team B</t>
        </is>
      </c>
      <c r="E16" s="3" t="inlineStr">
        <is>
          <t>CR</t>
        </is>
      </c>
      <c r="F16" s="3" t="inlineStr">
        <is>
          <t>HR</t>
        </is>
      </c>
      <c r="G16" s="3" t="inlineStr">
        <is>
          <t>Low</t>
        </is>
      </c>
      <c r="H16" s="3" t="inlineStr">
        <is>
          <t>Todo</t>
        </is>
      </c>
      <c r="I16" s="3" t="inlineStr">
        <is>
          <t>Backlog</t>
        </is>
      </c>
      <c r="J16" s="3" t="inlineStr">
        <is>
          <t>TBD</t>
        </is>
      </c>
      <c r="K16" s="3" t="inlineStr">
        <is>
          <t>minhvo@phs.vn</t>
        </is>
      </c>
      <c r="L16" s="3" t="inlineStr">
        <is>
          <t>06/05/2026</t>
        </is>
      </c>
      <c r="M16" s="3" t="inlineStr"/>
      <c r="N16" s="3" t="inlineStr"/>
      <c r="O16" s="4" t="inlineStr"/>
      <c r="P16" s="4" t="inlineStr"/>
    </row>
    <row r="17" ht="24" customHeight="1">
      <c r="A17" s="3" t="inlineStr">
        <is>
          <t>2289280</t>
        </is>
      </c>
      <c r="B17" s="3" t="inlineStr">
        <is>
          <t>10090283</t>
        </is>
      </c>
      <c r="C17" s="4" t="inlineStr">
        <is>
          <t>[CR] [2289280] [FN] [No.01-2026] Future-Dated Withdrawal Scheduling</t>
        </is>
      </c>
      <c r="D17" s="3" t="inlineStr">
        <is>
          <t>MW Team</t>
        </is>
      </c>
      <c r="E17" s="3" t="inlineStr">
        <is>
          <t>CR</t>
        </is>
      </c>
      <c r="F17" s="3" t="inlineStr">
        <is>
          <t>FN</t>
        </is>
      </c>
      <c r="G17" s="3" t="inlineStr">
        <is>
          <t>Medium</t>
        </is>
      </c>
      <c r="H17" s="3" t="inlineStr">
        <is>
          <t>Todo</t>
        </is>
      </c>
      <c r="I17" s="3" t="inlineStr">
        <is>
          <t>Backlog</t>
        </is>
      </c>
      <c r="J17" s="3" t="inlineStr">
        <is>
          <t>TBD</t>
        </is>
      </c>
      <c r="K17" s="3" t="inlineStr">
        <is>
          <t>huunguyen@phs.vn</t>
        </is>
      </c>
      <c r="L17" s="3" t="inlineStr">
        <is>
          <t>12/05/2026</t>
        </is>
      </c>
      <c r="M17" s="3" t="inlineStr"/>
      <c r="N17" s="3" t="inlineStr"/>
      <c r="O17" s="4" t="inlineStr"/>
      <c r="P17" s="4" t="inlineStr"/>
    </row>
  </sheetData>
  <mergeCells count="1">
    <mergeCell ref="A1:P1"/>
  </mergeCells>
  <dataValidations count="6">
    <dataValidation sqref="D3:D200" showDropDown="0" showInputMessage="0" showErrorMessage="0" allowBlank="1" error="Please select a valid team" type="list">
      <formula1>"Team Mobile,Dev Team B,MW Team"</formula1>
    </dataValidation>
    <dataValidation sqref="H3:H200" showDropDown="0" showInputMessage="0" showErrorMessage="0" allowBlank="1" type="list">
      <formula1>"Todo,Doing,Done,Overdue,Blocked"</formula1>
    </dataValidation>
    <dataValidation sqref="G3:G200" showDropDown="0" showInputMessage="0" showErrorMessage="0" allowBlank="1" type="list">
      <formula1>"Critical,High,Medium,Low"</formula1>
    </dataValidation>
    <dataValidation sqref="E3:E200" showDropDown="0" showInputMessage="0" showErrorMessage="0" allowBlank="1" type="list">
      <formula1>"CR,SDK,Bug Fix,Internal,Infrastructure"</formula1>
    </dataValidation>
    <dataValidation sqref="I3:I200" showDropDown="0" showInputMessage="0" showErrorMessage="0" allowBlank="1" type="list">
      <formula1>"Q1,Q2,Q3,Q4,Backlog"</formula1>
    </dataValidation>
    <dataValidation sqref="F3:F200" showDropDown="0" showInputMessage="0" showErrorMessage="0" allowBlank="1" type="list">
      <formula1>"RMD,SS,MSD,MKT,IT,RS,BMD,DTD,INB,FN,AC,HR,IC,LG,CCC,KT"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5" t="inlineStr">
        <is>
          <t>Team Name</t>
        </is>
      </c>
      <c r="B1" s="5" t="inlineStr">
        <is>
          <t>Team Lead</t>
        </is>
      </c>
      <c r="C1" s="5" t="inlineStr">
        <is>
          <t>Lead Email</t>
        </is>
      </c>
      <c r="D1" s="5" t="inlineStr">
        <is>
          <t>Members Count</t>
        </is>
      </c>
    </row>
    <row r="2">
      <c r="A2" s="6" t="inlineStr">
        <is>
          <t>Team Mobile</t>
        </is>
      </c>
      <c r="B2" s="6" t="inlineStr">
        <is>
          <t>Phong Vo</t>
        </is>
      </c>
      <c r="C2" s="6" t="inlineStr">
        <is>
          <t>phongvo@phs.vn</t>
        </is>
      </c>
      <c r="D2" s="6" t="inlineStr"/>
    </row>
    <row r="3">
      <c r="A3" s="6" t="inlineStr">
        <is>
          <t>Dev Team B</t>
        </is>
      </c>
      <c r="B3" s="6" t="inlineStr">
        <is>
          <t>Minh Vo</t>
        </is>
      </c>
      <c r="C3" s="6" t="inlineStr">
        <is>
          <t>minhvo@phs.vn</t>
        </is>
      </c>
      <c r="D3" s="6" t="inlineStr"/>
    </row>
    <row r="4">
      <c r="A4" s="6" t="inlineStr">
        <is>
          <t>MW Team</t>
        </is>
      </c>
      <c r="B4" s="6" t="inlineStr">
        <is>
          <t>Huu Nguyen</t>
        </is>
      </c>
      <c r="C4" s="6" t="inlineStr">
        <is>
          <t>huunguyen@phs.vn</t>
        </is>
      </c>
      <c r="D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  <col width="35" customWidth="1" min="4" max="4"/>
  </cols>
  <sheetData>
    <row r="1" ht="30" customHeight="1">
      <c r="A1" s="7" t="inlineStr">
        <is>
          <t>Task Naming Convention Guide</t>
        </is>
      </c>
    </row>
    <row r="2">
      <c r="A2" s="2" t="inlineStr">
        <is>
          <t>Pattern</t>
        </is>
      </c>
      <c r="B2" s="2" t="inlineStr">
        <is>
          <t>Example</t>
        </is>
      </c>
      <c r="C2" s="2" t="inlineStr">
        <is>
          <t>Description</t>
        </is>
      </c>
      <c r="D2" s="2" t="inlineStr">
        <is>
          <t>Field Mapping</t>
        </is>
      </c>
    </row>
    <row r="3">
      <c r="A3" s="4" t="inlineStr">
        <is>
          <t>[CR] [request-id] [dept] Title</t>
        </is>
      </c>
      <c r="B3" s="4" t="inlineStr">
        <is>
          <t>[CR] [2329940] [RS] AI Chatbot Integration</t>
        </is>
      </c>
      <c r="C3" s="4" t="inlineStr">
        <is>
          <t>Standard CR task — request-id is the ID from the base request platform</t>
        </is>
      </c>
      <c r="D3" s="4" t="inlineStr">
        <is>
          <t>Request ID → column A</t>
        </is>
      </c>
    </row>
    <row r="4">
      <c r="A4" s="4" t="inlineStr">
        <is>
          <t>[CR] [request-id] [dept] [No.XX-YYYY] Title</t>
        </is>
      </c>
      <c r="B4" s="4" t="inlineStr">
        <is>
          <t>[CR] [2084592] [RMD] [No.10-2025] Calculate interest</t>
        </is>
      </c>
      <c r="C4" s="4" t="inlineStr">
        <is>
          <t>MW Team format with internal sequence number and year</t>
        </is>
      </c>
      <c r="D4" s="4" t="inlineStr">
        <is>
          <t>No.XX-YYYY tracks internal ordering</t>
        </is>
      </c>
    </row>
    <row r="5">
      <c r="A5" s="4" t="inlineStr">
        <is>
          <t>[SDK] [request-id] Title</t>
        </is>
      </c>
      <c r="B5" s="4" t="inlineStr">
        <is>
          <t>[SDK] [2400512] Upgrade iOS and Android SDKs</t>
        </is>
      </c>
      <c r="C5" s="4" t="inlineStr">
        <is>
          <t>SDK upgrade tasks</t>
        </is>
      </c>
      <c r="D5" s="4" t="inlineStr">
        <is>
          <t>Category = SDK</t>
        </is>
      </c>
    </row>
    <row r="6">
      <c r="A6" s="4" t="inlineStr">
        <is>
          <t>[dept] Title (no CR)</t>
        </is>
      </c>
      <c r="B6" s="4" t="inlineStr">
        <is>
          <t>[MKT] Update Logo PHS 20 years anniversary</t>
        </is>
      </c>
      <c r="C6" s="4" t="inlineStr">
        <is>
          <t>Internal task without CR number</t>
        </is>
      </c>
      <c r="D6" s="4" t="inlineStr">
        <is>
          <t>Category = Internal</t>
        </is>
      </c>
    </row>
    <row r="8">
      <c r="A8" s="8" t="inlineStr">
        <is>
          <t>Mandatory Fields &amp; Rules</t>
        </is>
      </c>
    </row>
    <row r="9" ht="22" customHeight="1">
      <c r="A9" s="9" t="inlineStr">
        <is>
          <t>1. Every task MUST have: Request ID, Task Name, Team, Status, Assignee, Team Lead, Created Date, Deadline.</t>
        </is>
      </c>
    </row>
    <row r="10" ht="22" customHeight="1">
      <c r="A10" s="9" t="inlineStr">
        <is>
          <t>2. Backlog tasks: Status = "Todo", Phase = "Backlog". Must be groomed with deadline before moving to "Doing".</t>
        </is>
      </c>
    </row>
    <row r="11" ht="22" customHeight="1">
      <c r="A11" s="9" t="inlineStr">
        <is>
          <t>3. Request ID is the unique identifier from the base request platform — use it to detect duplicates across teams.</t>
        </is>
      </c>
    </row>
    <row r="12" ht="22" customHeight="1">
      <c r="A12" s="9" t="inlineStr">
        <is>
          <t>4. If the same CR spans multiple teams, create ONE row per team with the SAME Request ID. Use Dependencies column to link them.</t>
        </is>
      </c>
    </row>
    <row r="13" ht="22" customHeight="1">
      <c r="A13" s="9" t="inlineStr">
        <is>
          <t>5. Status flow: Todo → Doing → Done  |  Todo → Doing → Overdue → Done  |  Any → Blocked (explain in Notes).</t>
        </is>
      </c>
    </row>
    <row r="14" ht="22" customHeight="1">
      <c r="A14" s="9" t="inlineStr">
        <is>
          <t>6. Multi-team CRs: When a CR spans multiple teams, append the team scope to the task name: [CR] [request-id] [dept] Title — Scope (e.g., "— Mobile UI", "— Middleware API", "— Web Admin"). Use the SAME Request ID across all rows.</t>
        </is>
      </c>
    </row>
    <row r="15" ht="22" customHeight="1">
      <c r="A15" s="9" t="inlineStr">
        <is>
          <t>7. CR Overview sheet: For every multi-team CR, maintain ONE row in the CR Overview sheet summarizing all teams’ statuses. Update the Overall Status whenever any team’s status changes.</t>
        </is>
      </c>
    </row>
  </sheetData>
  <mergeCells count="9">
    <mergeCell ref="A1:D1"/>
    <mergeCell ref="A9:D9"/>
    <mergeCell ref="A8:D8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6C1A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Auto-calculated Dashboard (COUNTIFS from Task Tracker)</t>
        </is>
      </c>
    </row>
    <row r="3">
      <c r="A3" s="5" t="inlineStr">
        <is>
          <t>Team</t>
        </is>
      </c>
      <c r="B3" s="5" t="inlineStr">
        <is>
          <t>Total</t>
        </is>
      </c>
      <c r="C3" s="5" t="inlineStr">
        <is>
          <t>Todo</t>
        </is>
      </c>
      <c r="D3" s="5" t="inlineStr">
        <is>
          <t>Doing</t>
        </is>
      </c>
      <c r="E3" s="5" t="inlineStr">
        <is>
          <t>Done</t>
        </is>
      </c>
      <c r="F3" s="5" t="inlineStr">
        <is>
          <t>Overdue</t>
        </is>
      </c>
      <c r="G3" s="5" t="inlineStr">
        <is>
          <t>Blocked</t>
        </is>
      </c>
    </row>
    <row r="4">
      <c r="A4" s="10" t="inlineStr">
        <is>
          <t>Team Mobile</t>
        </is>
      </c>
      <c r="B4" s="6">
        <f>COUNTIF('Task Tracker'!D:D,"Team Mobile")</f>
        <v/>
      </c>
      <c r="C4" s="6">
        <f>COUNTIFS('Task Tracker'!D:D,"Team Mobile",'Task Tracker'!H:H,"Todo")</f>
        <v/>
      </c>
      <c r="D4" s="6">
        <f>COUNTIFS('Task Tracker'!D:D,"Team Mobile",'Task Tracker'!H:H,"Doing")</f>
        <v/>
      </c>
      <c r="E4" s="6">
        <f>COUNTIFS('Task Tracker'!D:D,"Team Mobile",'Task Tracker'!H:H,"Done")</f>
        <v/>
      </c>
      <c r="F4" s="6">
        <f>COUNTIFS('Task Tracker'!D:D,"Team Mobile",'Task Tracker'!H:H,"Overdue")</f>
        <v/>
      </c>
      <c r="G4" s="6">
        <f>COUNTIFS('Task Tracker'!D:D,"Team Mobile",'Task Tracker'!H:H,"Blocked")</f>
        <v/>
      </c>
    </row>
    <row r="5">
      <c r="A5" s="10" t="inlineStr">
        <is>
          <t>Dev Team B</t>
        </is>
      </c>
      <c r="B5" s="6">
        <f>COUNTIF('Task Tracker'!D:D,"Dev Team B")</f>
        <v/>
      </c>
      <c r="C5" s="6">
        <f>COUNTIFS('Task Tracker'!D:D,"Dev Team B",'Task Tracker'!H:H,"Todo")</f>
        <v/>
      </c>
      <c r="D5" s="6">
        <f>COUNTIFS('Task Tracker'!D:D,"Dev Team B",'Task Tracker'!H:H,"Doing")</f>
        <v/>
      </c>
      <c r="E5" s="6">
        <f>COUNTIFS('Task Tracker'!D:D,"Dev Team B",'Task Tracker'!H:H,"Done")</f>
        <v/>
      </c>
      <c r="F5" s="6">
        <f>COUNTIFS('Task Tracker'!D:D,"Dev Team B",'Task Tracker'!H:H,"Overdue")</f>
        <v/>
      </c>
      <c r="G5" s="6">
        <f>COUNTIFS('Task Tracker'!D:D,"Dev Team B",'Task Tracker'!H:H,"Blocked")</f>
        <v/>
      </c>
    </row>
    <row r="6">
      <c r="A6" s="10" t="inlineStr">
        <is>
          <t>MW Team</t>
        </is>
      </c>
      <c r="B6" s="6">
        <f>COUNTIF('Task Tracker'!D:D,"MW Team")</f>
        <v/>
      </c>
      <c r="C6" s="6">
        <f>COUNTIFS('Task Tracker'!D:D,"MW Team",'Task Tracker'!H:H,"Todo")</f>
        <v/>
      </c>
      <c r="D6" s="6">
        <f>COUNTIFS('Task Tracker'!D:D,"MW Team",'Task Tracker'!H:H,"Doing")</f>
        <v/>
      </c>
      <c r="E6" s="6">
        <f>COUNTIFS('Task Tracker'!D:D,"MW Team",'Task Tracker'!H:H,"Done")</f>
        <v/>
      </c>
      <c r="F6" s="6">
        <f>COUNTIFS('Task Tracker'!D:D,"MW Team",'Task Tracker'!H:H,"Overdue")</f>
        <v/>
      </c>
      <c r="G6" s="6">
        <f>COUNTIFS('Task Tracker'!D:D,"MW Team",'Task Tracker'!H:H,"Blocked")</f>
        <v/>
      </c>
    </row>
    <row r="7">
      <c r="A7" s="11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  <c r="F7" s="10">
        <f>SUM(F4:F6)</f>
        <v/>
      </c>
      <c r="G7" s="10">
        <f>SUM(G4:G6)</f>
        <v/>
      </c>
    </row>
    <row r="9">
      <c r="A9" s="12" t="inlineStr">
        <is>
          <t>Breakdown by Phase</t>
        </is>
      </c>
    </row>
    <row r="10">
      <c r="A10" s="5" t="inlineStr">
        <is>
          <t>Team</t>
        </is>
      </c>
      <c r="B10" s="5" t="inlineStr">
        <is>
          <t>Q1</t>
        </is>
      </c>
      <c r="C10" s="5" t="inlineStr">
        <is>
          <t>Q2</t>
        </is>
      </c>
      <c r="D10" s="5" t="inlineStr">
        <is>
          <t>Q3</t>
        </is>
      </c>
      <c r="E10" s="5" t="inlineStr">
        <is>
          <t>Q4</t>
        </is>
      </c>
      <c r="F10" s="5" t="inlineStr">
        <is>
          <t>Backlog</t>
        </is>
      </c>
      <c r="G10" s="5" t="inlineStr">
        <is>
          <t>Total</t>
        </is>
      </c>
    </row>
    <row r="11">
      <c r="A11" s="10" t="inlineStr">
        <is>
          <t>Team Mobile</t>
        </is>
      </c>
      <c r="B11" s="6">
        <f>COUNTIFS('Task Tracker'!D:D,"Team Mobile",'Task Tracker'!I:I,"Q1")</f>
        <v/>
      </c>
      <c r="C11" s="6">
        <f>COUNTIFS('Task Tracker'!D:D,"Team Mobile",'Task Tracker'!I:I,"Q2")</f>
        <v/>
      </c>
      <c r="D11" s="6">
        <f>COUNTIFS('Task Tracker'!D:D,"Team Mobile",'Task Tracker'!I:I,"Q3")</f>
        <v/>
      </c>
      <c r="E11" s="6">
        <f>COUNTIFS('Task Tracker'!D:D,"Team Mobile",'Task Tracker'!I:I,"Q4")</f>
        <v/>
      </c>
      <c r="F11" s="6">
        <f>COUNTIFS('Task Tracker'!D:D,"Team Mobile",'Task Tracker'!I:I,"Backlog")</f>
        <v/>
      </c>
      <c r="G11" s="6">
        <f>SUM(B11:F11)</f>
        <v/>
      </c>
    </row>
    <row r="12">
      <c r="A12" s="10" t="inlineStr">
        <is>
          <t>Dev Team B</t>
        </is>
      </c>
      <c r="B12" s="6">
        <f>COUNTIFS('Task Tracker'!D:D,"Dev Team B",'Task Tracker'!I:I,"Q1")</f>
        <v/>
      </c>
      <c r="C12" s="6">
        <f>COUNTIFS('Task Tracker'!D:D,"Dev Team B",'Task Tracker'!I:I,"Q2")</f>
        <v/>
      </c>
      <c r="D12" s="6">
        <f>COUNTIFS('Task Tracker'!D:D,"Dev Team B",'Task Tracker'!I:I,"Q3")</f>
        <v/>
      </c>
      <c r="E12" s="6">
        <f>COUNTIFS('Task Tracker'!D:D,"Dev Team B",'Task Tracker'!I:I,"Q4")</f>
        <v/>
      </c>
      <c r="F12" s="6">
        <f>COUNTIFS('Task Tracker'!D:D,"Dev Team B",'Task Tracker'!I:I,"Backlog")</f>
        <v/>
      </c>
      <c r="G12" s="6">
        <f>SUM(B12:F12)</f>
        <v/>
      </c>
    </row>
    <row r="13">
      <c r="A13" s="10" t="inlineStr">
        <is>
          <t>MW Team</t>
        </is>
      </c>
      <c r="B13" s="6">
        <f>COUNTIFS('Task Tracker'!D:D,"MW Team",'Task Tracker'!I:I,"Q1")</f>
        <v/>
      </c>
      <c r="C13" s="6">
        <f>COUNTIFS('Task Tracker'!D:D,"MW Team",'Task Tracker'!I:I,"Q2")</f>
        <v/>
      </c>
      <c r="D13" s="6">
        <f>COUNTIFS('Task Tracker'!D:D,"MW Team",'Task Tracker'!I:I,"Q3")</f>
        <v/>
      </c>
      <c r="E13" s="6">
        <f>COUNTIFS('Task Tracker'!D:D,"MW Team",'Task Tracker'!I:I,"Q4")</f>
        <v/>
      </c>
      <c r="F13" s="6">
        <f>COUNTIFS('Task Tracker'!D:D,"MW Team",'Task Tracker'!I:I,"Backlog")</f>
        <v/>
      </c>
      <c r="G13" s="6">
        <f>SUM(B13:F13)</f>
        <v/>
      </c>
    </row>
  </sheetData>
  <mergeCells count="2"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11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40" customWidth="1" min="10" max="10"/>
  </cols>
  <sheetData>
    <row r="1" ht="36" customHeight="1">
      <c r="A1" s="1" t="inlineStr">
        <is>
          <t>CR Overview — Cross-Team Change Request Tracking</t>
        </is>
      </c>
    </row>
    <row r="2" ht="22" customHeight="1">
      <c r="A2" s="13" t="inlineStr">
        <is>
          <t>Each row = one unique CR. Shows which teams are involved, per-team status, and overall CR health. Manually maintained — reference Task Tracker for source data.</t>
        </is>
      </c>
    </row>
    <row r="3" ht="28" customHeight="1">
      <c r="A3" s="2" t="inlineStr">
        <is>
          <t>Request ID</t>
        </is>
      </c>
      <c r="B3" s="2" t="inlineStr">
        <is>
          <t>CR Title</t>
        </is>
      </c>
      <c r="C3" s="2" t="inlineStr">
        <is>
          <t>Dept</t>
        </is>
      </c>
      <c r="D3" s="2" t="inlineStr">
        <is>
          <t>Priority</t>
        </is>
      </c>
      <c r="E3" s="2" t="inlineStr">
        <is>
          <t>Teams Involved</t>
        </is>
      </c>
      <c r="F3" s="2" t="inlineStr">
        <is>
          <t>Mobile Status</t>
        </is>
      </c>
      <c r="G3" s="2" t="inlineStr">
        <is>
          <t>Dev B Status</t>
        </is>
      </c>
      <c r="H3" s="2" t="inlineStr">
        <is>
          <t>MW Status</t>
        </is>
      </c>
      <c r="I3" s="2" t="inlineStr">
        <is>
          <t>Overall Status</t>
        </is>
      </c>
      <c r="J3" s="2" t="inlineStr">
        <is>
          <t>Blockers / Notes</t>
        </is>
      </c>
    </row>
    <row r="4" ht="26" customHeight="1">
      <c r="A4" s="3" t="inlineStr">
        <is>
          <t>2275303</t>
        </is>
      </c>
      <c r="B4" s="4" t="inlineStr">
        <is>
          <t>Enhance securities depository features via PHS Elite Trading</t>
        </is>
      </c>
      <c r="C4" s="3" t="inlineStr">
        <is>
          <t>SS</t>
        </is>
      </c>
      <c r="D4" s="14" t="inlineStr">
        <is>
          <t>High</t>
        </is>
      </c>
      <c r="E4" s="3" t="inlineStr">
        <is>
          <t>3 teams</t>
        </is>
      </c>
      <c r="F4" s="15" t="inlineStr">
        <is>
          <t>Overdue</t>
        </is>
      </c>
      <c r="G4" s="16" t="inlineStr">
        <is>
          <t>Done</t>
        </is>
      </c>
      <c r="H4" s="17" t="inlineStr">
        <is>
          <t>Doing</t>
        </is>
      </c>
      <c r="I4" s="17" t="inlineStr">
        <is>
          <t>In Progress</t>
        </is>
      </c>
      <c r="J4" s="4" t="inlineStr">
        <is>
          <t>Mobile blocked waiting for MW API. Dev B completed web admin portion.</t>
        </is>
      </c>
    </row>
    <row r="5" ht="26" customHeight="1">
      <c r="A5" s="3" t="inlineStr">
        <is>
          <t>2084592</t>
        </is>
      </c>
      <c r="B5" s="4" t="inlineStr">
        <is>
          <t>Calculate interest for accounts using special interest rate products</t>
        </is>
      </c>
      <c r="C5" s="3" t="inlineStr">
        <is>
          <t>RMD</t>
        </is>
      </c>
      <c r="D5" s="18" t="inlineStr">
        <is>
          <t>Critical</t>
        </is>
      </c>
      <c r="E5" s="3" t="inlineStr">
        <is>
          <t>3 teams</t>
        </is>
      </c>
      <c r="F5" s="15" t="inlineStr">
        <is>
          <t>Overdue</t>
        </is>
      </c>
      <c r="G5" s="17" t="inlineStr">
        <is>
          <t>Doing</t>
        </is>
      </c>
      <c r="H5" s="17" t="inlineStr">
        <is>
          <t>Doing</t>
        </is>
      </c>
      <c r="I5" s="15" t="inlineStr">
        <is>
          <t>Overdue</t>
        </is>
      </c>
      <c r="J5" s="4" t="inlineStr">
        <is>
          <t>Mobile overdue (FLEX 3rd-party dependency). MW carryover from 2025. Dev B needs deadline.</t>
        </is>
      </c>
    </row>
    <row r="6" ht="26" customHeight="1">
      <c r="A6" s="3" t="inlineStr">
        <is>
          <t>2400155</t>
        </is>
      </c>
      <c r="B6" s="4" t="inlineStr">
        <is>
          <t>Develop Mission Tracking Page for Promotion</t>
        </is>
      </c>
      <c r="C6" s="3" t="inlineStr">
        <is>
          <t>MKT</t>
        </is>
      </c>
      <c r="D6" s="19" t="inlineStr">
        <is>
          <t>Medium</t>
        </is>
      </c>
      <c r="E6" s="3" t="inlineStr">
        <is>
          <t>2 teams</t>
        </is>
      </c>
      <c r="F6" s="17" t="inlineStr">
        <is>
          <t>Doing</t>
        </is>
      </c>
      <c r="G6" s="17" t="inlineStr">
        <is>
          <t>Doing</t>
        </is>
      </c>
      <c r="H6" s="20" t="inlineStr">
        <is>
          <t>—</t>
        </is>
      </c>
      <c r="I6" s="17" t="inlineStr">
        <is>
          <t>In Progress</t>
        </is>
      </c>
      <c r="J6" s="4" t="inlineStr">
        <is>
          <t>Dev B row missing deadline. Mobile targeting 20/06.</t>
        </is>
      </c>
    </row>
    <row r="7" ht="26" customHeight="1">
      <c r="A7" s="3" t="inlineStr">
        <is>
          <t>2283752</t>
        </is>
      </c>
      <c r="B7" s="4" t="inlineStr">
        <is>
          <t>Send Notification via Elite App and mail all right issue</t>
        </is>
      </c>
      <c r="C7" s="3" t="inlineStr">
        <is>
          <t>SS</t>
        </is>
      </c>
      <c r="D7" s="19" t="inlineStr">
        <is>
          <t>Medium</t>
        </is>
      </c>
      <c r="E7" s="3" t="inlineStr">
        <is>
          <t>2 teams</t>
        </is>
      </c>
      <c r="F7" s="17" t="inlineStr">
        <is>
          <t>Doing</t>
        </is>
      </c>
      <c r="G7" s="20" t="inlineStr">
        <is>
          <t>—</t>
        </is>
      </c>
      <c r="H7" s="17" t="inlineStr">
        <is>
          <t>Doing</t>
        </is>
      </c>
      <c r="I7" s="17" t="inlineStr">
        <is>
          <t>In Progress</t>
        </is>
      </c>
      <c r="J7" s="4" t="inlineStr">
        <is>
          <t>Mobile + MW. No deadline set on either side.</t>
        </is>
      </c>
    </row>
    <row r="8" ht="26" customHeight="1">
      <c r="A8" s="3" t="inlineStr">
        <is>
          <t>2335404</t>
        </is>
      </c>
      <c r="B8" s="4" t="inlineStr">
        <is>
          <t>Upgrade the automatic limit adjustment feature</t>
        </is>
      </c>
      <c r="C8" s="3" t="inlineStr">
        <is>
          <t>RMD</t>
        </is>
      </c>
      <c r="D8" s="19" t="inlineStr">
        <is>
          <t>Medium</t>
        </is>
      </c>
      <c r="E8" s="3" t="inlineStr">
        <is>
          <t>2 teams</t>
        </is>
      </c>
      <c r="F8" s="17" t="inlineStr">
        <is>
          <t>Doing</t>
        </is>
      </c>
      <c r="G8" s="17" t="inlineStr">
        <is>
          <t>Doing</t>
        </is>
      </c>
      <c r="H8" s="20" t="inlineStr">
        <is>
          <t>—</t>
        </is>
      </c>
      <c r="I8" s="17" t="inlineStr">
        <is>
          <t>In Progress</t>
        </is>
      </c>
      <c r="J8" s="4" t="inlineStr">
        <is>
          <t>Mobile (CRs in Coding) + Dev B (Customer Portal Admin).</t>
        </is>
      </c>
    </row>
    <row r="9" ht="26" customHeight="1">
      <c r="A9" s="3" t="inlineStr">
        <is>
          <t>2216483</t>
        </is>
      </c>
      <c r="B9" s="4" t="inlineStr">
        <is>
          <t>Loyalty Customer System on Mobile App</t>
        </is>
      </c>
      <c r="C9" s="3" t="inlineStr">
        <is>
          <t>MSD</t>
        </is>
      </c>
      <c r="D9" s="19" t="inlineStr">
        <is>
          <t>Medium</t>
        </is>
      </c>
      <c r="E9" s="3" t="inlineStr">
        <is>
          <t>2 teams</t>
        </is>
      </c>
      <c r="F9" s="16" t="inlineStr">
        <is>
          <t>Done</t>
        </is>
      </c>
      <c r="G9" s="20" t="inlineStr">
        <is>
          <t>—</t>
        </is>
      </c>
      <c r="H9" s="17" t="inlineStr">
        <is>
          <t>Doing</t>
        </is>
      </c>
      <c r="I9" s="17" t="inlineStr">
        <is>
          <t>In Progress</t>
        </is>
      </c>
      <c r="J9" s="4" t="inlineStr">
        <is>
          <t>Mobile completed. MW still implementing backend.</t>
        </is>
      </c>
    </row>
    <row r="10" ht="26" customHeight="1">
      <c r="A10" s="3" t="inlineStr">
        <is>
          <t>2149046</t>
        </is>
      </c>
      <c r="B10" s="4" t="inlineStr">
        <is>
          <t>EKYC</t>
        </is>
      </c>
      <c r="C10" s="3" t="inlineStr">
        <is>
          <t>IT</t>
        </is>
      </c>
      <c r="D10" s="18" t="inlineStr">
        <is>
          <t>Critical</t>
        </is>
      </c>
      <c r="E10" s="3" t="inlineStr">
        <is>
          <t>1 team</t>
        </is>
      </c>
      <c r="F10" s="15" t="inlineStr">
        <is>
          <t>Overdue</t>
        </is>
      </c>
      <c r="G10" s="20" t="inlineStr">
        <is>
          <t>—</t>
        </is>
      </c>
      <c r="H10" s="20" t="inlineStr">
        <is>
          <t>—</t>
        </is>
      </c>
      <c r="I10" s="15" t="inlineStr">
        <is>
          <t>Overdue</t>
        </is>
      </c>
      <c r="J10" s="4" t="inlineStr">
        <is>
          <t>Blocked by EKYC vendor. Mobile only.</t>
        </is>
      </c>
    </row>
    <row r="11" ht="26" customHeight="1">
      <c r="A11" s="3" t="inlineStr">
        <is>
          <t>2329940</t>
        </is>
      </c>
      <c r="B11" s="4" t="inlineStr">
        <is>
          <t>AI Chatbot Integration for Elite Mobile App &amp; Xpro Web Trading</t>
        </is>
      </c>
      <c r="C11" s="3" t="inlineStr">
        <is>
          <t>RS</t>
        </is>
      </c>
      <c r="D11" s="14" t="inlineStr">
        <is>
          <t>High</t>
        </is>
      </c>
      <c r="E11" s="3" t="inlineStr">
        <is>
          <t>1 team</t>
        </is>
      </c>
      <c r="F11" s="15" t="inlineStr">
        <is>
          <t>Overdue</t>
        </is>
      </c>
      <c r="G11" s="20" t="inlineStr">
        <is>
          <t>—</t>
        </is>
      </c>
      <c r="H11" s="20" t="inlineStr">
        <is>
          <t>—</t>
        </is>
      </c>
      <c r="I11" s="15" t="inlineStr">
        <is>
          <t>Overdue</t>
        </is>
      </c>
      <c r="J11" s="4" t="inlineStr">
        <is>
          <t>Depends on RS team API. Assignee TBD.</t>
        </is>
      </c>
    </row>
    <row r="12" ht="26" customHeight="1">
      <c r="A12" s="3" t="inlineStr">
        <is>
          <t>2238356</t>
        </is>
      </c>
      <c r="B12" s="4" t="inlineStr">
        <is>
          <t>ADVANCE MARGIN FOR DERIVATIVES</t>
        </is>
      </c>
      <c r="C12" s="3" t="inlineStr">
        <is>
          <t>MSD</t>
        </is>
      </c>
      <c r="D12" s="14" t="inlineStr">
        <is>
          <t>High</t>
        </is>
      </c>
      <c r="E12" s="3" t="inlineStr">
        <is>
          <t>1 team</t>
        </is>
      </c>
      <c r="F12" s="15" t="inlineStr">
        <is>
          <t>Overdue</t>
        </is>
      </c>
      <c r="G12" s="20" t="inlineStr">
        <is>
          <t>—</t>
        </is>
      </c>
      <c r="H12" s="20" t="inlineStr">
        <is>
          <t>—</t>
        </is>
      </c>
      <c r="I12" s="15" t="inlineStr">
        <is>
          <t>Overdue</t>
        </is>
      </c>
      <c r="J12" s="4" t="inlineStr">
        <is>
          <t>Mobile only. 3rd-party dependency.</t>
        </is>
      </c>
    </row>
    <row r="13" ht="26" customHeight="1">
      <c r="A13" s="3" t="inlineStr">
        <is>
          <t>2403987</t>
        </is>
      </c>
      <c r="B13" s="4" t="inlineStr">
        <is>
          <t>Loyalty System - Phase 1</t>
        </is>
      </c>
      <c r="C13" s="3" t="inlineStr">
        <is>
          <t>SS</t>
        </is>
      </c>
      <c r="D13" s="19" t="inlineStr">
        <is>
          <t>Medium</t>
        </is>
      </c>
      <c r="E13" s="3" t="inlineStr">
        <is>
          <t>1 team</t>
        </is>
      </c>
      <c r="F13" s="20" t="inlineStr">
        <is>
          <t>—</t>
        </is>
      </c>
      <c r="G13" s="17" t="inlineStr">
        <is>
          <t>Doing</t>
        </is>
      </c>
      <c r="H13" s="20" t="inlineStr">
        <is>
          <t>—</t>
        </is>
      </c>
      <c r="I13" s="17" t="inlineStr">
        <is>
          <t>In Progress</t>
        </is>
      </c>
      <c r="J13" s="4" t="inlineStr">
        <is>
          <t>Dev B only. Deadline Nov 2026.</t>
        </is>
      </c>
    </row>
    <row r="14" ht="26" customHeight="1">
      <c r="A14" s="3" t="inlineStr">
        <is>
          <t>2222464</t>
        </is>
      </c>
      <c r="B14" s="4" t="inlineStr">
        <is>
          <t>Add sign-in method</t>
        </is>
      </c>
      <c r="C14" s="3" t="inlineStr">
        <is>
          <t>RMD</t>
        </is>
      </c>
      <c r="D14" s="19" t="inlineStr">
        <is>
          <t>Medium</t>
        </is>
      </c>
      <c r="E14" s="3" t="inlineStr">
        <is>
          <t>2 teams</t>
        </is>
      </c>
      <c r="F14" s="16" t="inlineStr">
        <is>
          <t>Done</t>
        </is>
      </c>
      <c r="G14" s="20" t="inlineStr">
        <is>
          <t>—</t>
        </is>
      </c>
      <c r="H14" s="16" t="inlineStr">
        <is>
          <t>Done</t>
        </is>
      </c>
      <c r="I14" s="16" t="inlineStr">
        <is>
          <t>Done</t>
        </is>
      </c>
      <c r="J14" s="4" t="inlineStr">
        <is>
          <t>Mobile Q1 done. MW completed 13/05.</t>
        </is>
      </c>
    </row>
    <row r="15" ht="26" customHeight="1">
      <c r="A15" s="3" t="inlineStr">
        <is>
          <t>2443571</t>
        </is>
      </c>
      <c r="B15" s="4" t="inlineStr">
        <is>
          <t>Restrict using PHS email for securities transactions</t>
        </is>
      </c>
      <c r="C15" s="3" t="inlineStr">
        <is>
          <t>SS</t>
        </is>
      </c>
      <c r="D15" s="19" t="inlineStr">
        <is>
          <t>Medium</t>
        </is>
      </c>
      <c r="E15" s="3" t="inlineStr">
        <is>
          <t>1 team</t>
        </is>
      </c>
      <c r="F15" s="20" t="inlineStr">
        <is>
          <t>—</t>
        </is>
      </c>
      <c r="G15" s="20" t="inlineStr">
        <is>
          <t>—</t>
        </is>
      </c>
      <c r="H15" s="17" t="inlineStr">
        <is>
          <t>Doing</t>
        </is>
      </c>
      <c r="I15" s="17" t="inlineStr">
        <is>
          <t>In Progress</t>
        </is>
      </c>
      <c r="J15" s="4" t="inlineStr">
        <is>
          <t>MW only.</t>
        </is>
      </c>
    </row>
    <row r="17">
      <c r="A17" s="12" t="inlineStr">
        <is>
          <t>Summary</t>
        </is>
      </c>
    </row>
    <row r="18">
      <c r="A18" s="21" t="inlineStr">
        <is>
          <t>Total unique CRs:</t>
        </is>
      </c>
      <c r="B18" s="22">
        <f>COUNTA(A4:A16)</f>
        <v/>
      </c>
    </row>
    <row r="19">
      <c r="A19" s="21" t="inlineStr">
        <is>
          <t>Multi-team CRs:</t>
        </is>
      </c>
      <c r="B19" s="22">
        <f>COUNTIF(E4:E16,"2 teams")+COUNTIF(E4:E16,"3 teams")</f>
        <v/>
      </c>
    </row>
    <row r="20">
      <c r="A20" s="21" t="inlineStr">
        <is>
          <t>CRs with Overdue status:</t>
        </is>
      </c>
      <c r="B20" s="22">
        <f>COUNTIF(I4:I16,"Overdue")</f>
        <v/>
      </c>
    </row>
    <row r="21">
      <c r="A21" s="21" t="inlineStr">
        <is>
          <t>CRs fully Done:</t>
        </is>
      </c>
      <c r="B21" s="22">
        <f>COUNTIF(I4:I16,"Done")</f>
        <v/>
      </c>
    </row>
    <row r="22">
      <c r="A22" s="21" t="inlineStr">
        <is>
          <t>CRs Blocked:</t>
        </is>
      </c>
      <c r="B22" s="22">
        <f>COUNTIF(I4:I16,"Blocked")</f>
        <v/>
      </c>
    </row>
  </sheetData>
  <mergeCells count="3">
    <mergeCell ref="A17:J17"/>
    <mergeCell ref="A1:J1"/>
    <mergeCell ref="A2:J2"/>
  </mergeCells>
  <dataValidations count="4">
    <dataValidation sqref="F4:H50" showDropDown="0" showInputMessage="0" showErrorMessage="0" allowBlank="1" type="list">
      <formula1>"—,Todo,Doing,Done,Overdue,Blocked"</formula1>
    </dataValidation>
    <dataValidation sqref="I4:I50" showDropDown="0" showInputMessage="0" showErrorMessage="0" allowBlank="1" type="list">
      <formula1>"Not Started,In Progress,Partially Done,Done,Overdue,Blocked"</formula1>
    </dataValidation>
    <dataValidation sqref="D4:D50" showDropDown="0" showInputMessage="0" showErrorMessage="0" allowBlank="1" type="list">
      <formula1>"Critical,High,Medium,Low"</formula1>
    </dataValidation>
    <dataValidation sqref="E4:E50" showDropDown="0" showInputMessage="0" showErrorMessage="0" allowBlank="1" type="list">
      <formula1>"1 team,2 teams,3 teams"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2026-06-05T03:42:09Z</dcterms:created>
  <dcterms:modified xmlns:dcterms="http://purl.org/dc/terms/" xmlns:xsi="http://www.w3.org/2001/XMLSchema-instance" xsi:type="dcterms:W3CDTF">2026-06-05T04:04:34Z</dcterms:modified>
</cp:coreProperties>
</file>