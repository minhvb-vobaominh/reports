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4000" windowHeight="9735" tabRatio="600" firstSheet="0" activeTab="0" autoFilterDateGrouping="1"/>
  </bookViews>
  <sheets>
    <sheet xmlns:r="http://schemas.openxmlformats.org/officeDocument/2006/relationships" name="Task Tracker" sheetId="1" state="visible" r:id="rId1"/>
    <sheet xmlns:r="http://schemas.openxmlformats.org/officeDocument/2006/relationships" name="CR Overview" sheetId="2" state="visible" r:id="rId2"/>
    <sheet xmlns:r="http://schemas.openxmlformats.org/officeDocument/2006/relationships" name="fact_task_snapshot" sheetId="3" state="visible" r:id="rId3"/>
    <sheet xmlns:r="http://schemas.openxmlformats.org/officeDocument/2006/relationships" name="dim_task" sheetId="4" state="visible" r:id="rId4"/>
    <sheet xmlns:r="http://schemas.openxmlformats.org/officeDocument/2006/relationships" name="dim_team" sheetId="5" state="visible" r:id="rId5"/>
    <sheet xmlns:r="http://schemas.openxmlformats.org/officeDocument/2006/relationships" name="dim_stage" sheetId="6" state="visible" r:id="rId6"/>
    <sheet xmlns:r="http://schemas.openxmlformats.org/officeDocument/2006/relationships" name="bridge_task_division" sheetId="7" state="visible" r:id="rId7"/>
    <sheet xmlns:r="http://schemas.openxmlformats.org/officeDocument/2006/relationships" name="bridge_task_platform" sheetId="8" state="visible" r:id="rId8"/>
    <sheet xmlns:r="http://schemas.openxmlformats.org/officeDocument/2006/relationships" name="bridge_task_devunit" sheetId="9" state="visible" r:id="rId9"/>
  </sheets>
  <definedNames/>
  <calcPr calcId="152511" fullCalcOnLoad="1"/>
</workbook>
</file>

<file path=xl/styles.xml><?xml version="1.0" encoding="utf-8"?>
<styleSheet xmlns="http://schemas.openxmlformats.org/spreadsheetml/2006/main">
  <numFmts count="2">
    <numFmt numFmtId="164" formatCode="yyyy-mm-dd h:mm:ss"/>
    <numFmt numFmtId="165" formatCode="dd/mm/yyyy hh:mm"/>
  </numFmts>
  <fonts count="19">
    <font>
      <name val="Calibri"/>
      <family val="2"/>
      <color theme="1"/>
      <sz val="11"/>
      <scheme val="minor"/>
    </font>
    <font>
      <name val="Segoe UI"/>
      <b val="1"/>
      <color rgb="FF1B2A4A"/>
      <sz val="14"/>
    </font>
    <font>
      <name val="Segoe UI"/>
      <b val="1"/>
      <color rgb="FFFFFFFF"/>
      <sz val="11"/>
    </font>
    <font>
      <name val="Segoe UI"/>
      <color rgb="FF333333"/>
      <sz val="10"/>
    </font>
    <font>
      <name val="Segoe UI"/>
      <b val="1"/>
      <color rgb="00FFFFFF"/>
      <sz val="11"/>
    </font>
    <font>
      <name val="Segoe UI"/>
      <color rgb="00333333"/>
      <sz val="10"/>
    </font>
    <font>
      <name val="Segoe UI"/>
      <b val="1"/>
      <color rgb="001B2A4A"/>
      <sz val="14"/>
    </font>
    <font>
      <name val="Segoe UI"/>
      <b val="1"/>
      <color rgb="00333333"/>
      <sz val="10"/>
    </font>
    <font>
      <name val="Segoe UI"/>
      <b val="1"/>
      <color rgb="00B91C1C"/>
      <sz val="10"/>
    </font>
    <font>
      <name val="Segoe UI"/>
      <b val="1"/>
      <color rgb="006D28D9"/>
      <sz val="10"/>
    </font>
    <font>
      <name val="Segoe UI"/>
      <b val="1"/>
      <color rgb="0092400E"/>
      <sz val="10"/>
    </font>
    <font>
      <name val="Segoe UI"/>
      <b val="1"/>
      <color rgb="0015803D"/>
      <sz val="10"/>
    </font>
    <font>
      <name val="Segoe UI"/>
      <b val="1"/>
      <color rgb="001D4ED8"/>
      <sz val="10"/>
    </font>
    <font>
      <name val="Segoe UI"/>
      <b val="1"/>
      <color rgb="00854D0E"/>
      <sz val="10"/>
    </font>
    <font>
      <name val="Segoe UI"/>
      <color rgb="00CBD5E1"/>
      <sz val="10"/>
    </font>
    <font>
      <name val="Segoe UI"/>
      <color rgb="00475569"/>
      <sz val="10"/>
    </font>
    <font>
      <name val="Segoe UI"/>
      <strike val="1"/>
      <color rgb="006B7280"/>
      <sz val="10"/>
    </font>
    <font>
      <name val="Segoe UI"/>
      <b val="1"/>
      <color rgb="001B2A4A"/>
      <sz val="12"/>
    </font>
    <font>
      <name val="Segoe UI"/>
      <b val="1"/>
      <color rgb="001B2A4A"/>
      <sz val="11"/>
    </font>
  </fonts>
  <fills count="12">
    <fill>
      <patternFill/>
    </fill>
    <fill>
      <patternFill patternType="gray125"/>
    </fill>
    <fill>
      <patternFill patternType="solid">
        <fgColor rgb="FF1B2A4A"/>
      </patternFill>
    </fill>
    <fill>
      <patternFill patternType="solid">
        <fgColor rgb="001B2A4A"/>
      </patternFill>
    </fill>
    <fill>
      <patternFill patternType="solid">
        <fgColor rgb="00FEF3C7"/>
      </patternFill>
    </fill>
    <fill>
      <patternFill patternType="solid">
        <fgColor rgb="00FEE2E2"/>
      </patternFill>
    </fill>
    <fill>
      <patternFill patternType="solid">
        <fgColor rgb="00EDE9FE"/>
      </patternFill>
    </fill>
    <fill>
      <patternFill patternType="solid">
        <fgColor rgb="00DBEAFE"/>
      </patternFill>
    </fill>
    <fill>
      <patternFill patternType="solid">
        <fgColor rgb="00DCFCE7"/>
      </patternFill>
    </fill>
    <fill>
      <patternFill patternType="solid">
        <fgColor rgb="00FEF9C3"/>
      </patternFill>
    </fill>
    <fill>
      <patternFill patternType="solid">
        <fgColor rgb="00F1F5F9"/>
      </patternFill>
    </fill>
    <fill>
      <patternFill patternType="solid">
        <fgColor rgb="00E5E7EB"/>
      </patternFill>
    </fill>
  </fills>
  <borders count="3">
    <border>
      <left/>
      <right/>
      <top/>
      <bottom/>
      <diagonal/>
    </border>
    <border>
      <left/>
      <right style="thin">
        <color rgb="FFD0D9E8"/>
      </right>
      <top/>
      <bottom style="thin">
        <color rgb="FFD0D9E8"/>
      </bottom>
      <diagonal/>
    </border>
    <border>
      <right style="thin">
        <color rgb="00D0D9E8"/>
      </right>
      <bottom style="thin">
        <color rgb="00D0D9E8"/>
      </bottom>
    </border>
  </borders>
  <cellStyleXfs count="1">
    <xf numFmtId="0" fontId="0" fillId="0" borderId="0"/>
  </cellStyleXfs>
  <cellXfs count="28">
    <xf numFmtId="0" fontId="0"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applyAlignment="1" pivotButton="0" quotePrefix="0" xfId="0">
      <alignment horizontal="left" vertical="center"/>
    </xf>
    <xf numFmtId="0" fontId="0" fillId="0" borderId="0" pivotButton="0" quotePrefix="0" xfId="0"/>
    <xf numFmtId="0" fontId="4" fillId="3" borderId="2"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165" fontId="5" fillId="0" borderId="2" applyAlignment="1" pivotButton="0" quotePrefix="0" xfId="0">
      <alignment horizontal="center" vertical="center" wrapText="1"/>
    </xf>
    <xf numFmtId="0" fontId="6" fillId="0" borderId="0" pivotButton="0" quotePrefix="0" xfId="0"/>
    <xf numFmtId="0" fontId="7" fillId="4" borderId="2" applyAlignment="1" pivotButton="0" quotePrefix="0" xfId="0">
      <alignment horizontal="center" vertical="center" wrapText="1"/>
    </xf>
    <xf numFmtId="0" fontId="8"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10" fillId="4" borderId="2" applyAlignment="1" pivotButton="0" quotePrefix="0" xfId="0">
      <alignment horizontal="center" vertical="center" wrapText="1"/>
    </xf>
    <xf numFmtId="0" fontId="7"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12" fillId="7" borderId="2" applyAlignment="1" pivotButton="0" quotePrefix="0" xfId="0">
      <alignment horizontal="center" vertical="center" wrapText="1"/>
    </xf>
    <xf numFmtId="0" fontId="13" fillId="9" borderId="2" applyAlignment="1" pivotButton="0" quotePrefix="0" xfId="0">
      <alignment horizontal="center" vertical="center" wrapText="1"/>
    </xf>
    <xf numFmtId="0" fontId="14" fillId="0" borderId="2" applyAlignment="1" pivotButton="0" quotePrefix="0" xfId="0">
      <alignment horizontal="center" vertical="center" wrapText="1"/>
    </xf>
    <xf numFmtId="0" fontId="7" fillId="10" borderId="2" applyAlignment="1" pivotButton="0" quotePrefix="0" xfId="0">
      <alignment horizontal="center" vertical="center" wrapText="1"/>
    </xf>
    <xf numFmtId="0" fontId="15" fillId="10" borderId="2" applyAlignment="1" pivotButton="0" quotePrefix="0" xfId="0">
      <alignment horizontal="center" vertical="center" wrapText="1"/>
    </xf>
    <xf numFmtId="0" fontId="16" fillId="11" borderId="2" applyAlignment="1" pivotButton="0" quotePrefix="0" xfId="0">
      <alignment horizontal="center" vertical="center" wrapText="1"/>
    </xf>
    <xf numFmtId="0" fontId="17" fillId="0" borderId="0" pivotButton="0" quotePrefix="0" xfId="0"/>
    <xf numFmtId="0" fontId="7" fillId="0" borderId="0" applyAlignment="1" pivotButton="0" quotePrefix="0" xfId="0">
      <alignment horizontal="left" vertical="center" wrapText="1"/>
    </xf>
    <xf numFmtId="0" fontId="18" fillId="0" borderId="0" applyAlignment="1" pivotButton="0" quotePrefix="0" xfId="0">
      <alignment horizontal="center" vertical="center" wrapText="1"/>
    </xf>
    <xf numFmtId="0" fontId="4" fillId="3" borderId="0" applyAlignment="1" pivotButton="0" quotePrefix="0" xfId="0">
      <alignment horizontal="center" vertical="center" wrapText="1"/>
    </xf>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B2A4A"/>
    <outlinePr summaryBelow="1" summaryRight="1"/>
    <pageSetUpPr/>
  </sheetPr>
  <dimension ref="A1:Q85"/>
  <sheetViews>
    <sheetView tabSelected="1" workbookViewId="0">
      <pane ySplit="2" topLeftCell="A3" activePane="bottomLeft" state="frozen"/>
      <selection pane="bottomLeft" activeCell="A1" sqref="A1:P1"/>
    </sheetView>
  </sheetViews>
  <sheetFormatPr baseColWidth="8" defaultRowHeight="15"/>
  <cols>
    <col width="14" customWidth="1" style="5" min="1" max="1"/>
    <col width="12" customWidth="1" style="5" min="2" max="2"/>
    <col width="50" customWidth="1" style="5" min="3" max="3"/>
    <col width="16" customWidth="1" style="5" min="4" max="4"/>
    <col width="14" customWidth="1" style="5" min="5" max="5"/>
    <col width="10" customWidth="1" style="5" min="6" max="6"/>
    <col width="12" customWidth="1" style="5" min="7" max="8"/>
    <col width="16" customWidth="1" style="5" min="9" max="9"/>
    <col width="18" customWidth="1" style="5" min="10" max="11"/>
    <col width="14" customWidth="1" style="5" min="12" max="14"/>
    <col width="20" customWidth="1" style="5" min="15" max="15"/>
    <col width="30" customWidth="1" style="5" min="16" max="16"/>
  </cols>
  <sheetData>
    <row r="1" ht="36" customHeight="1" s="5">
      <c r="A1" s="4" t="inlineStr">
        <is>
          <t>IT Department — Cross-Team Task Tracker 2026</t>
        </is>
      </c>
    </row>
    <row r="2" ht="27.95" customHeight="1" s="5">
      <c r="A2" s="1" t="inlineStr">
        <is>
          <t>Request ID</t>
        </is>
      </c>
      <c r="B2" s="1" t="inlineStr">
        <is>
          <t>Task ID</t>
        </is>
      </c>
      <c r="C2" s="1" t="inlineStr">
        <is>
          <t>Task Name</t>
        </is>
      </c>
      <c r="D2" s="1" t="inlineStr">
        <is>
          <t>Team</t>
        </is>
      </c>
      <c r="E2" s="1" t="inlineStr">
        <is>
          <t>Category</t>
        </is>
      </c>
      <c r="F2" s="1" t="inlineStr">
        <is>
          <t>Dept Tag</t>
        </is>
      </c>
      <c r="G2" s="1" t="inlineStr">
        <is>
          <t>Priority</t>
        </is>
      </c>
      <c r="H2" s="1" t="inlineStr">
        <is>
          <t>Status</t>
        </is>
      </c>
      <c r="I2" s="6" t="inlineStr">
        <is>
          <t>Stage</t>
        </is>
      </c>
      <c r="J2" s="1" t="inlineStr">
        <is>
          <t>Phase</t>
        </is>
      </c>
      <c r="K2" s="1" t="inlineStr">
        <is>
          <t>Assignee</t>
        </is>
      </c>
      <c r="L2" s="1" t="inlineStr">
        <is>
          <t>Team Lead</t>
        </is>
      </c>
      <c r="M2" s="1" t="inlineStr">
        <is>
          <t>Created Date</t>
        </is>
      </c>
      <c r="N2" s="1" t="inlineStr">
        <is>
          <t>Deadline</t>
        </is>
      </c>
      <c r="O2" s="1" t="inlineStr">
        <is>
          <t>Completed Date</t>
        </is>
      </c>
      <c r="P2" s="1" t="inlineStr">
        <is>
          <t>Dependencies</t>
        </is>
      </c>
      <c r="Q2" s="1" t="inlineStr">
        <is>
          <t>Notes</t>
        </is>
      </c>
    </row>
    <row r="3" ht="24" customHeight="1" s="5">
      <c r="A3" s="7" t="inlineStr"/>
      <c r="B3" s="7" t="inlineStr">
        <is>
          <t>10347513</t>
        </is>
      </c>
      <c r="C3" s="8" t="inlineStr">
        <is>
          <t>[Flex.MSP] Hệ thống điện chuyển mạch VSDC</t>
        </is>
      </c>
      <c r="D3" s="7" t="inlineStr">
        <is>
          <t>MW Team</t>
        </is>
      </c>
      <c r="E3" s="7" t="inlineStr">
        <is>
          <t>CR</t>
        </is>
      </c>
      <c r="F3" s="7" t="inlineStr"/>
      <c r="G3" s="7" t="inlineStr">
        <is>
          <t>Medium</t>
        </is>
      </c>
      <c r="H3" s="7" t="inlineStr">
        <is>
          <t>Doing</t>
        </is>
      </c>
      <c r="I3" s="7" t="inlineStr"/>
      <c r="J3" s="7" t="inlineStr">
        <is>
          <t>Q2</t>
        </is>
      </c>
      <c r="K3" s="7" t="inlineStr">
        <is>
          <t>NGUYỄN MINH HỮU</t>
        </is>
      </c>
      <c r="L3" s="7" t="inlineStr">
        <is>
          <t>huunguyen@phs.vn</t>
        </is>
      </c>
      <c r="M3" s="9" t="n">
        <v>46206.43125</v>
      </c>
      <c r="N3" s="7" t="n"/>
      <c r="O3" s="7" t="n"/>
      <c r="P3" s="8" t="inlineStr"/>
      <c r="Q3" s="8" t="inlineStr"/>
    </row>
    <row r="4" ht="24" customHeight="1" s="5">
      <c r="A4" s="7" t="inlineStr">
        <is>
          <t>2129248</t>
        </is>
      </c>
      <c r="B4" s="7" t="inlineStr">
        <is>
          <t>10274446</t>
        </is>
      </c>
      <c r="C4" s="8" t="inlineStr">
        <is>
          <t>[CR] [2129248] [RMD] Add Special room information for Locations</t>
        </is>
      </c>
      <c r="D4" s="7" t="inlineStr">
        <is>
          <t>Dev Team B</t>
        </is>
      </c>
      <c r="E4" s="7" t="inlineStr">
        <is>
          <t>CR</t>
        </is>
      </c>
      <c r="F4" s="7" t="inlineStr">
        <is>
          <t>RMD</t>
        </is>
      </c>
      <c r="G4" s="7" t="inlineStr">
        <is>
          <t>Medium</t>
        </is>
      </c>
      <c r="H4" s="7" t="inlineStr">
        <is>
          <t>UAT</t>
        </is>
      </c>
      <c r="I4" s="7" t="inlineStr">
        <is>
          <t>UAT Testing</t>
        </is>
      </c>
      <c r="J4" s="7" t="inlineStr">
        <is>
          <t>Q2</t>
        </is>
      </c>
      <c r="K4" s="7" t="inlineStr">
        <is>
          <t>VÕ BẢO MINH</t>
        </is>
      </c>
      <c r="L4" s="7" t="inlineStr">
        <is>
          <t>minhvo@phs.vn</t>
        </is>
      </c>
      <c r="M4" s="9" t="n">
        <v>46192.40208333333</v>
      </c>
      <c r="N4" s="9" t="n">
        <v>46202.99930555555</v>
      </c>
      <c r="O4" s="9" t="n">
        <v>46205.66875</v>
      </c>
      <c r="P4" s="8" t="inlineStr"/>
      <c r="Q4" s="8" t="inlineStr"/>
    </row>
    <row r="5" ht="24" customHeight="1" s="5">
      <c r="A5" s="7" t="inlineStr">
        <is>
          <t>2335404</t>
        </is>
      </c>
      <c r="B5" s="7" t="inlineStr">
        <is>
          <t>10223433</t>
        </is>
      </c>
      <c r="C5" s="8" t="inlineStr">
        <is>
          <t>[CR] [2335404] [RMD] Upgrade the automatic limit adjustment feature on Customer Portal Admin</t>
        </is>
      </c>
      <c r="D5" s="7" t="inlineStr">
        <is>
          <t>Dev Team B</t>
        </is>
      </c>
      <c r="E5" s="7" t="inlineStr">
        <is>
          <t>CR</t>
        </is>
      </c>
      <c r="F5" s="7" t="inlineStr">
        <is>
          <t>RMD</t>
        </is>
      </c>
      <c r="G5" s="7" t="inlineStr">
        <is>
          <t>Medium</t>
        </is>
      </c>
      <c r="H5" s="7" t="inlineStr">
        <is>
          <t>UAT</t>
        </is>
      </c>
      <c r="I5" s="7" t="inlineStr">
        <is>
          <t>UAT Testing</t>
        </is>
      </c>
      <c r="J5" s="7" t="inlineStr">
        <is>
          <t>Q2</t>
        </is>
      </c>
      <c r="K5" s="7" t="inlineStr">
        <is>
          <t>VÕ BẢO MINH</t>
        </is>
      </c>
      <c r="L5" s="7" t="inlineStr">
        <is>
          <t>minhvo@phs.vn</t>
        </is>
      </c>
      <c r="M5" s="9" t="n">
        <v>46181.57638888889</v>
      </c>
      <c r="N5" s="9" t="n">
        <v>46185.99930555555</v>
      </c>
      <c r="O5" s="9" t="n">
        <v>46185.34444444445</v>
      </c>
      <c r="P5" s="8" t="inlineStr">
        <is>
          <t>2335404</t>
        </is>
      </c>
      <c r="Q5" s="8" t="inlineStr"/>
    </row>
    <row r="6" ht="24" customHeight="1" s="5">
      <c r="A6" s="7" t="inlineStr">
        <is>
          <t>2084592</t>
        </is>
      </c>
      <c r="B6" s="7" t="inlineStr">
        <is>
          <t>10055830</t>
        </is>
      </c>
      <c r="C6" s="8" t="inlineStr">
        <is>
          <t>[CR] [2084592] [RMD] Calculate interest for accounts using special interest rate products</t>
        </is>
      </c>
      <c r="D6" s="7" t="inlineStr">
        <is>
          <t>Dev Team B</t>
        </is>
      </c>
      <c r="E6" s="7" t="inlineStr">
        <is>
          <t>CR</t>
        </is>
      </c>
      <c r="F6" s="7" t="inlineStr">
        <is>
          <t>RMD</t>
        </is>
      </c>
      <c r="G6" s="7" t="inlineStr">
        <is>
          <t>High</t>
        </is>
      </c>
      <c r="H6" s="7" t="inlineStr">
        <is>
          <t>UAT</t>
        </is>
      </c>
      <c r="I6" s="7" t="inlineStr">
        <is>
          <t>UAT Testing</t>
        </is>
      </c>
      <c r="J6" s="7" t="inlineStr">
        <is>
          <t>Q2</t>
        </is>
      </c>
      <c r="K6" s="7" t="inlineStr">
        <is>
          <t>VÕ BẢO MINH</t>
        </is>
      </c>
      <c r="L6" s="7" t="inlineStr">
        <is>
          <t>minhvo@phs.vn</t>
        </is>
      </c>
      <c r="M6" s="9" t="n">
        <v>46147.73402777778</v>
      </c>
      <c r="N6" s="9" t="n">
        <v>46157.99930555555</v>
      </c>
      <c r="O6" s="9" t="n">
        <v>46158.33402777778</v>
      </c>
      <c r="P6" s="8" t="inlineStr">
        <is>
          <t>2084592</t>
        </is>
      </c>
      <c r="Q6" s="8" t="inlineStr"/>
    </row>
    <row r="7" ht="24" customHeight="1" s="5">
      <c r="A7" s="7" t="inlineStr">
        <is>
          <t>2084592</t>
        </is>
      </c>
      <c r="B7" s="7" t="inlineStr">
        <is>
          <t>9739419</t>
        </is>
      </c>
      <c r="C7" s="8" t="inlineStr">
        <is>
          <t>[CR] [2084592] [RMD] Declare Limit &amp; Type For Account Using Special Product on FLEX system</t>
        </is>
      </c>
      <c r="D7" s="7" t="inlineStr">
        <is>
          <t>Team Mobile</t>
        </is>
      </c>
      <c r="E7" s="7" t="inlineStr">
        <is>
          <t>CR</t>
        </is>
      </c>
      <c r="F7" s="7" t="inlineStr">
        <is>
          <t>RMD</t>
        </is>
      </c>
      <c r="G7" s="7" t="inlineStr">
        <is>
          <t>High</t>
        </is>
      </c>
      <c r="H7" s="7" t="inlineStr">
        <is>
          <t>Overdue</t>
        </is>
      </c>
      <c r="I7" s="7" t="inlineStr">
        <is>
          <t>UAT Testing</t>
        </is>
      </c>
      <c r="J7" s="7" t="inlineStr">
        <is>
          <t>Q2</t>
        </is>
      </c>
      <c r="K7" s="7" t="inlineStr">
        <is>
          <t>VÕ THANH PHONG</t>
        </is>
      </c>
      <c r="L7" s="7" t="inlineStr">
        <is>
          <t>phongvo@phs.vn</t>
        </is>
      </c>
      <c r="M7" s="9" t="n">
        <v>46084.69375</v>
      </c>
      <c r="N7" s="9" t="n">
        <v>46173.99930555555</v>
      </c>
      <c r="O7" s="7" t="n"/>
      <c r="P7" s="8" t="inlineStr">
        <is>
          <t>2084592</t>
        </is>
      </c>
      <c r="Q7" s="8" t="inlineStr"/>
    </row>
    <row r="8" ht="24" customHeight="1" s="5">
      <c r="A8" s="7" t="inlineStr">
        <is>
          <t>2149046</t>
        </is>
      </c>
      <c r="B8" s="7" t="inlineStr">
        <is>
          <t>9739414</t>
        </is>
      </c>
      <c r="C8" s="8" t="inlineStr">
        <is>
          <t>[CR] [2149046] [IT] EKYC</t>
        </is>
      </c>
      <c r="D8" s="7" t="inlineStr">
        <is>
          <t>Team Mobile</t>
        </is>
      </c>
      <c r="E8" s="7" t="inlineStr">
        <is>
          <t>CR</t>
        </is>
      </c>
      <c r="F8" s="7" t="inlineStr">
        <is>
          <t>IT</t>
        </is>
      </c>
      <c r="G8" s="7" t="inlineStr">
        <is>
          <t>High</t>
        </is>
      </c>
      <c r="H8" s="7" t="inlineStr">
        <is>
          <t>Overdue</t>
        </is>
      </c>
      <c r="I8" s="7" t="inlineStr">
        <is>
          <t>UAT Testing</t>
        </is>
      </c>
      <c r="J8" s="7" t="inlineStr">
        <is>
          <t>Q2</t>
        </is>
      </c>
      <c r="K8" s="7" t="inlineStr">
        <is>
          <t>VÕ THANH PHONG</t>
        </is>
      </c>
      <c r="L8" s="7" t="inlineStr">
        <is>
          <t>phongvo@phs.vn</t>
        </is>
      </c>
      <c r="M8" s="9" t="n">
        <v>46084.69375</v>
      </c>
      <c r="N8" s="9" t="n">
        <v>46164.99930555555</v>
      </c>
      <c r="O8" s="7" t="n"/>
      <c r="P8" s="8" t="inlineStr">
        <is>
          <t>2149046</t>
        </is>
      </c>
      <c r="Q8" s="8" t="inlineStr"/>
    </row>
    <row r="9" ht="24" customHeight="1" s="5">
      <c r="A9" s="7" t="inlineStr">
        <is>
          <t>2283752</t>
        </is>
      </c>
      <c r="B9" s="7" t="inlineStr">
        <is>
          <t>9739427</t>
        </is>
      </c>
      <c r="C9" s="8" t="inlineStr">
        <is>
          <t>[CR] [2283752] [SS] Send Notification via Elite App and mail all right issue</t>
        </is>
      </c>
      <c r="D9" s="7" t="inlineStr">
        <is>
          <t>Team Mobile</t>
        </is>
      </c>
      <c r="E9" s="7" t="inlineStr">
        <is>
          <t>CR</t>
        </is>
      </c>
      <c r="F9" s="7" t="inlineStr">
        <is>
          <t>SS</t>
        </is>
      </c>
      <c r="G9" s="7" t="inlineStr">
        <is>
          <t>Low</t>
        </is>
      </c>
      <c r="H9" s="7" t="inlineStr">
        <is>
          <t>UAT</t>
        </is>
      </c>
      <c r="I9" s="7" t="inlineStr">
        <is>
          <t>UAT Testing</t>
        </is>
      </c>
      <c r="J9" s="7" t="inlineStr">
        <is>
          <t>Q2</t>
        </is>
      </c>
      <c r="K9" s="7" t="inlineStr"/>
      <c r="L9" s="7" t="inlineStr">
        <is>
          <t>phongvo@phs.vn</t>
        </is>
      </c>
      <c r="M9" s="9" t="n">
        <v>46084.69444444445</v>
      </c>
      <c r="N9" s="7" t="n"/>
      <c r="O9" s="7" t="n"/>
      <c r="P9" s="8" t="inlineStr">
        <is>
          <t>2283752</t>
        </is>
      </c>
      <c r="Q9" s="8" t="inlineStr"/>
    </row>
    <row r="10" ht="24" customHeight="1" s="5">
      <c r="A10" s="7" t="inlineStr">
        <is>
          <t>2238356</t>
        </is>
      </c>
      <c r="B10" s="7" t="inlineStr">
        <is>
          <t>9739415</t>
        </is>
      </c>
      <c r="C10" s="8" t="inlineStr">
        <is>
          <t>[CR] [2238356] [MSD] ADVANCE MARGIN FOR DERIVATIVES</t>
        </is>
      </c>
      <c r="D10" s="7" t="inlineStr">
        <is>
          <t>Team Mobile</t>
        </is>
      </c>
      <c r="E10" s="7" t="inlineStr">
        <is>
          <t>CR</t>
        </is>
      </c>
      <c r="F10" s="7" t="inlineStr">
        <is>
          <t>MSD</t>
        </is>
      </c>
      <c r="G10" s="7" t="inlineStr">
        <is>
          <t>High</t>
        </is>
      </c>
      <c r="H10" s="7" t="inlineStr">
        <is>
          <t>Overdue</t>
        </is>
      </c>
      <c r="I10" s="7" t="inlineStr">
        <is>
          <t>UAT Testing</t>
        </is>
      </c>
      <c r="J10" s="7" t="inlineStr">
        <is>
          <t>Q2</t>
        </is>
      </c>
      <c r="K10" s="7" t="inlineStr">
        <is>
          <t>VÕ THANH PHONG</t>
        </is>
      </c>
      <c r="L10" s="7" t="inlineStr">
        <is>
          <t>phongvo@phs.vn</t>
        </is>
      </c>
      <c r="M10" s="9" t="n">
        <v>46084.69375</v>
      </c>
      <c r="N10" s="9" t="n">
        <v>46171.99930555555</v>
      </c>
      <c r="O10" s="7" t="n"/>
      <c r="P10" s="8" t="inlineStr">
        <is>
          <t>2238356</t>
        </is>
      </c>
      <c r="Q10" s="8" t="inlineStr"/>
    </row>
    <row r="11" ht="24" customHeight="1" s="5">
      <c r="A11" s="7" t="inlineStr">
        <is>
          <t>2335404</t>
        </is>
      </c>
      <c r="B11" s="7" t="inlineStr">
        <is>
          <t>9953694</t>
        </is>
      </c>
      <c r="C11" s="8" t="inlineStr">
        <is>
          <t>[CR] [2335404] Upgrade the automatic limit adjustment feature</t>
        </is>
      </c>
      <c r="D11" s="7" t="inlineStr">
        <is>
          <t>Team Mobile</t>
        </is>
      </c>
      <c r="E11" s="7" t="inlineStr">
        <is>
          <t>CR</t>
        </is>
      </c>
      <c r="F11" s="7" t="inlineStr"/>
      <c r="G11" s="7" t="inlineStr">
        <is>
          <t>Medium</t>
        </is>
      </c>
      <c r="H11" s="7" t="inlineStr">
        <is>
          <t>Doing</t>
        </is>
      </c>
      <c r="I11" s="7" t="inlineStr">
        <is>
          <t>FTL Coding</t>
        </is>
      </c>
      <c r="J11" s="7" t="inlineStr">
        <is>
          <t>Q2</t>
        </is>
      </c>
      <c r="K11" s="7" t="inlineStr">
        <is>
          <t>VÕ THANH PHONG</t>
        </is>
      </c>
      <c r="L11" s="7" t="inlineStr">
        <is>
          <t>phongvo@phs.vn</t>
        </is>
      </c>
      <c r="M11" s="9" t="n">
        <v>46125.72361111111</v>
      </c>
      <c r="N11" s="7" t="n"/>
      <c r="O11" s="7" t="n"/>
      <c r="P11" s="8" t="inlineStr">
        <is>
          <t>2335404</t>
        </is>
      </c>
      <c r="Q11" s="8" t="inlineStr"/>
    </row>
    <row r="12" ht="24" customHeight="1" s="5">
      <c r="A12" s="7" t="inlineStr">
        <is>
          <t>2330515</t>
        </is>
      </c>
      <c r="B12" s="7" t="inlineStr">
        <is>
          <t>10340145</t>
        </is>
      </c>
      <c r="C12" s="8" t="inlineStr">
        <is>
          <t>[CR] [2330515] [RMD] IPO Share Subscription Feature</t>
        </is>
      </c>
      <c r="D12" s="7" t="inlineStr">
        <is>
          <t>Dev Team B</t>
        </is>
      </c>
      <c r="E12" s="7" t="inlineStr">
        <is>
          <t>CR</t>
        </is>
      </c>
      <c r="F12" s="7" t="inlineStr">
        <is>
          <t>RMD</t>
        </is>
      </c>
      <c r="G12" s="7" t="inlineStr">
        <is>
          <t>Low</t>
        </is>
      </c>
      <c r="H12" s="7" t="inlineStr">
        <is>
          <t>Todo</t>
        </is>
      </c>
      <c r="I12" s="7" t="inlineStr">
        <is>
          <t>Backlog</t>
        </is>
      </c>
      <c r="J12" s="7" t="inlineStr">
        <is>
          <t>Q3</t>
        </is>
      </c>
      <c r="K12" s="7" t="inlineStr">
        <is>
          <t>VÕ BẢO MINH</t>
        </is>
      </c>
      <c r="L12" s="7" t="inlineStr">
        <is>
          <t>minhvo@phs.vn</t>
        </is>
      </c>
      <c r="M12" s="9" t="n">
        <v>46205.37222222222</v>
      </c>
      <c r="N12" s="7" t="n"/>
      <c r="O12" s="7" t="n"/>
      <c r="P12" s="8" t="inlineStr">
        <is>
          <t>2330515</t>
        </is>
      </c>
      <c r="Q12" s="8" t="inlineStr"/>
    </row>
    <row r="13" ht="24" customHeight="1" s="5">
      <c r="A13" s="7" t="inlineStr">
        <is>
          <t>2415056</t>
        </is>
      </c>
      <c r="B13" s="7" t="inlineStr">
        <is>
          <t>10340143</t>
        </is>
      </c>
      <c r="C13" s="8" t="inlineStr">
        <is>
          <t>[CR] [2415056] [MKT] Implementation of “Partner Offers” on PHS Mobile App</t>
        </is>
      </c>
      <c r="D13" s="7" t="inlineStr">
        <is>
          <t>Dev Team B</t>
        </is>
      </c>
      <c r="E13" s="7" t="inlineStr">
        <is>
          <t>CR</t>
        </is>
      </c>
      <c r="F13" s="7" t="inlineStr">
        <is>
          <t>MKT</t>
        </is>
      </c>
      <c r="G13" s="7" t="inlineStr">
        <is>
          <t>Low</t>
        </is>
      </c>
      <c r="H13" s="7" t="inlineStr">
        <is>
          <t>Doing</t>
        </is>
      </c>
      <c r="I13" s="7" t="inlineStr">
        <is>
          <t>Discuss Req</t>
        </is>
      </c>
      <c r="J13" s="7" t="inlineStr">
        <is>
          <t>Q3</t>
        </is>
      </c>
      <c r="K13" s="7" t="inlineStr">
        <is>
          <t>VÕ BẢO MINH</t>
        </is>
      </c>
      <c r="L13" s="7" t="inlineStr">
        <is>
          <t>minhvo@phs.vn</t>
        </is>
      </c>
      <c r="M13" s="9" t="n">
        <v>46205.37152777778</v>
      </c>
      <c r="N13" s="7" t="n"/>
      <c r="O13" s="7" t="n"/>
      <c r="P13" s="8" t="inlineStr">
        <is>
          <t>2415056</t>
        </is>
      </c>
      <c r="Q13" s="8" t="inlineStr"/>
    </row>
    <row r="14" ht="24" customHeight="1" s="5">
      <c r="A14" s="7" t="inlineStr">
        <is>
          <t>2425861</t>
        </is>
      </c>
      <c r="B14" s="7" t="inlineStr">
        <is>
          <t>10340127</t>
        </is>
      </c>
      <c r="C14" s="8" t="inlineStr">
        <is>
          <t>[CR] [2425861] [RS] Research Portal: Phase 2</t>
        </is>
      </c>
      <c r="D14" s="7" t="inlineStr">
        <is>
          <t>Dev Team B</t>
        </is>
      </c>
      <c r="E14" s="7" t="inlineStr">
        <is>
          <t>CR</t>
        </is>
      </c>
      <c r="F14" s="7" t="inlineStr">
        <is>
          <t>RS</t>
        </is>
      </c>
      <c r="G14" s="7" t="inlineStr">
        <is>
          <t>Low</t>
        </is>
      </c>
      <c r="H14" s="7" t="inlineStr">
        <is>
          <t>Todo</t>
        </is>
      </c>
      <c r="I14" s="7" t="inlineStr">
        <is>
          <t>Backlog</t>
        </is>
      </c>
      <c r="J14" s="7" t="inlineStr">
        <is>
          <t>Q3</t>
        </is>
      </c>
      <c r="K14" s="7" t="inlineStr">
        <is>
          <t>VÕ BẢO MINH</t>
        </is>
      </c>
      <c r="L14" s="7" t="inlineStr">
        <is>
          <t>minhvo@phs.vn</t>
        </is>
      </c>
      <c r="M14" s="9" t="n">
        <v>46205.37152777778</v>
      </c>
      <c r="N14" s="7" t="n"/>
      <c r="O14" s="7" t="n"/>
      <c r="P14" s="8" t="inlineStr"/>
      <c r="Q14" s="8" t="inlineStr"/>
    </row>
    <row r="15" ht="24" customHeight="1" s="5">
      <c r="A15" s="7" t="inlineStr">
        <is>
          <t>2426812</t>
        </is>
      </c>
      <c r="B15" s="7" t="inlineStr">
        <is>
          <t>10340024</t>
        </is>
      </c>
      <c r="C15" s="8" t="inlineStr">
        <is>
          <t>[CR] [2426812] [MKT] Merge CCC &amp; RS chatbot into one Master Client Chatbot</t>
        </is>
      </c>
      <c r="D15" s="7" t="inlineStr">
        <is>
          <t>Dev Team B</t>
        </is>
      </c>
      <c r="E15" s="7" t="inlineStr">
        <is>
          <t>CR</t>
        </is>
      </c>
      <c r="F15" s="7" t="inlineStr">
        <is>
          <t>MKT</t>
        </is>
      </c>
      <c r="G15" s="7" t="inlineStr">
        <is>
          <t>Low</t>
        </is>
      </c>
      <c r="H15" s="7" t="inlineStr">
        <is>
          <t>Doing</t>
        </is>
      </c>
      <c r="I15" s="7" t="inlineStr">
        <is>
          <t>Design UI/UX</t>
        </is>
      </c>
      <c r="J15" s="7" t="inlineStr">
        <is>
          <t>Q3</t>
        </is>
      </c>
      <c r="K15" s="7" t="inlineStr">
        <is>
          <t>VÕ BẢO MINH</t>
        </is>
      </c>
      <c r="L15" s="7" t="inlineStr">
        <is>
          <t>minhvo@phs.vn</t>
        </is>
      </c>
      <c r="M15" s="9" t="n">
        <v>46205.36388888889</v>
      </c>
      <c r="N15" s="7" t="n"/>
      <c r="O15" s="7" t="n"/>
      <c r="P15" s="8" t="inlineStr"/>
      <c r="Q15" s="8" t="inlineStr"/>
    </row>
    <row r="16" ht="24" customHeight="1" s="5">
      <c r="A16" s="7" t="inlineStr">
        <is>
          <t>2403987</t>
        </is>
      </c>
      <c r="B16" s="7" t="inlineStr">
        <is>
          <t>10340021</t>
        </is>
      </c>
      <c r="C16" s="8" t="inlineStr">
        <is>
          <t>[CR] [2403987] [SS] Loyalty System - Phase 1</t>
        </is>
      </c>
      <c r="D16" s="7" t="inlineStr">
        <is>
          <t>Dev Team B</t>
        </is>
      </c>
      <c r="E16" s="7" t="inlineStr">
        <is>
          <t>CR</t>
        </is>
      </c>
      <c r="F16" s="7" t="inlineStr">
        <is>
          <t>SS</t>
        </is>
      </c>
      <c r="G16" s="7" t="inlineStr">
        <is>
          <t>Low</t>
        </is>
      </c>
      <c r="H16" s="7" t="inlineStr">
        <is>
          <t>Doing</t>
        </is>
      </c>
      <c r="I16" s="7" t="inlineStr">
        <is>
          <t>Web B Coding</t>
        </is>
      </c>
      <c r="J16" s="7" t="inlineStr">
        <is>
          <t>Q3</t>
        </is>
      </c>
      <c r="K16" s="7" t="inlineStr">
        <is>
          <t>VÕ BẢO MINH</t>
        </is>
      </c>
      <c r="L16" s="7" t="inlineStr">
        <is>
          <t>minhvo@phs.vn</t>
        </is>
      </c>
      <c r="M16" s="9" t="n">
        <v>46205.3625</v>
      </c>
      <c r="N16" s="7" t="n"/>
      <c r="O16" s="7" t="n"/>
      <c r="P16" s="8" t="inlineStr"/>
      <c r="Q16" s="8" t="inlineStr"/>
    </row>
    <row r="17" ht="24" customHeight="1" s="5">
      <c r="A17" s="7" t="inlineStr">
        <is>
          <t>2540233</t>
        </is>
      </c>
      <c r="B17" s="7" t="inlineStr">
        <is>
          <t>10340020</t>
        </is>
      </c>
      <c r="C17" s="8" t="inlineStr">
        <is>
          <t>[CR] [2540233] [SS] FIFA WORLD CUP CHALLENGE 2026</t>
        </is>
      </c>
      <c r="D17" s="7" t="inlineStr">
        <is>
          <t>Dev Team B</t>
        </is>
      </c>
      <c r="E17" s="7" t="inlineStr">
        <is>
          <t>CR</t>
        </is>
      </c>
      <c r="F17" s="7" t="inlineStr">
        <is>
          <t>SS</t>
        </is>
      </c>
      <c r="G17" s="7" t="inlineStr">
        <is>
          <t>Low</t>
        </is>
      </c>
      <c r="H17" s="7" t="inlineStr">
        <is>
          <t>Todo</t>
        </is>
      </c>
      <c r="I17" s="7" t="inlineStr">
        <is>
          <t>Dev To do</t>
        </is>
      </c>
      <c r="J17" s="7" t="inlineStr">
        <is>
          <t>Q3</t>
        </is>
      </c>
      <c r="K17" s="7" t="inlineStr">
        <is>
          <t>VÕ BẢO MINH</t>
        </is>
      </c>
      <c r="L17" s="7" t="inlineStr">
        <is>
          <t>minhvo@phs.vn</t>
        </is>
      </c>
      <c r="M17" s="9" t="n">
        <v>46205.3625</v>
      </c>
      <c r="N17" s="7" t="n"/>
      <c r="O17" s="7" t="n"/>
      <c r="P17" s="8" t="inlineStr">
        <is>
          <t>2540233</t>
        </is>
      </c>
      <c r="Q17" s="8" t="inlineStr"/>
    </row>
    <row r="18" ht="24" customHeight="1" s="5">
      <c r="A18" s="7" t="inlineStr">
        <is>
          <t>1954732</t>
        </is>
      </c>
      <c r="B18" s="7" t="inlineStr">
        <is>
          <t>10058431</t>
        </is>
      </c>
      <c r="C18" s="8" t="inlineStr">
        <is>
          <t>[CR] [1954732] [HR] HR report automation</t>
        </is>
      </c>
      <c r="D18" s="7" t="inlineStr">
        <is>
          <t>Dev Team B</t>
        </is>
      </c>
      <c r="E18" s="7" t="inlineStr">
        <is>
          <t>CR</t>
        </is>
      </c>
      <c r="F18" s="7" t="inlineStr">
        <is>
          <t>HR</t>
        </is>
      </c>
      <c r="G18" s="7" t="inlineStr">
        <is>
          <t>Low</t>
        </is>
      </c>
      <c r="H18" s="7" t="inlineStr">
        <is>
          <t>Todo</t>
        </is>
      </c>
      <c r="I18" s="7" t="inlineStr">
        <is>
          <t>Dev To do</t>
        </is>
      </c>
      <c r="J18" s="7" t="inlineStr">
        <is>
          <t>Backlog</t>
        </is>
      </c>
      <c r="K18" s="7" t="inlineStr">
        <is>
          <t>VÕ BẢO MINH</t>
        </is>
      </c>
      <c r="L18" s="7" t="inlineStr">
        <is>
          <t>minhvo@phs.vn</t>
        </is>
      </c>
      <c r="M18" s="9" t="n">
        <v>46148.35694444444</v>
      </c>
      <c r="N18" s="7" t="n"/>
      <c r="O18" s="7" t="n"/>
      <c r="P18" s="8" t="inlineStr"/>
      <c r="Q18" s="8" t="inlineStr"/>
    </row>
    <row r="19" ht="24" customHeight="1" s="5">
      <c r="A19" s="7" t="inlineStr">
        <is>
          <t>1923581</t>
        </is>
      </c>
      <c r="B19" s="7" t="inlineStr">
        <is>
          <t>9956873</t>
        </is>
      </c>
      <c r="C19" s="8" t="inlineStr">
        <is>
          <t>[CR] [1923581] [RMD] Tool to control the number of positions that need to be closed out</t>
        </is>
      </c>
      <c r="D19" s="7" t="inlineStr">
        <is>
          <t>Dev Team B</t>
        </is>
      </c>
      <c r="E19" s="7" t="inlineStr">
        <is>
          <t>CR</t>
        </is>
      </c>
      <c r="F19" s="7" t="inlineStr">
        <is>
          <t>RMD</t>
        </is>
      </c>
      <c r="G19" s="7" t="inlineStr">
        <is>
          <t>Low</t>
        </is>
      </c>
      <c r="H19" s="7" t="inlineStr">
        <is>
          <t>Blocked</t>
        </is>
      </c>
      <c r="I19" s="7" t="inlineStr">
        <is>
          <t>Pending</t>
        </is>
      </c>
      <c r="J19" s="7" t="inlineStr">
        <is>
          <t>Backlog</t>
        </is>
      </c>
      <c r="K19" s="7" t="inlineStr">
        <is>
          <t>VÕ BẢO MINH</t>
        </is>
      </c>
      <c r="L19" s="7" t="inlineStr">
        <is>
          <t>minhvo@phs.vn</t>
        </is>
      </c>
      <c r="M19" s="9" t="n">
        <v>46126.39236111111</v>
      </c>
      <c r="N19" s="7" t="n"/>
      <c r="O19" s="7" t="n"/>
      <c r="P19" s="8" t="inlineStr"/>
      <c r="Q19" s="8" t="inlineStr"/>
    </row>
    <row r="20" ht="24" customHeight="1" s="5">
      <c r="A20" s="7" t="inlineStr">
        <is>
          <t>2403987</t>
        </is>
      </c>
      <c r="B20" s="7" t="inlineStr">
        <is>
          <t>10059258</t>
        </is>
      </c>
      <c r="C20" s="8" t="inlineStr">
        <is>
          <t>[CR] [2403987] [SS] Loyalty System - Phase 1 - Login Screen</t>
        </is>
      </c>
      <c r="D20" s="7" t="inlineStr">
        <is>
          <t>Dev Team B</t>
        </is>
      </c>
      <c r="E20" s="7" t="inlineStr">
        <is>
          <t>CR</t>
        </is>
      </c>
      <c r="F20" s="7" t="inlineStr">
        <is>
          <t>SS</t>
        </is>
      </c>
      <c r="G20" s="7" t="inlineStr">
        <is>
          <t>Low</t>
        </is>
      </c>
      <c r="H20" s="7" t="inlineStr">
        <is>
          <t>UAT</t>
        </is>
      </c>
      <c r="I20" s="7" t="inlineStr">
        <is>
          <t>UAT Testing</t>
        </is>
      </c>
      <c r="J20" s="7" t="inlineStr">
        <is>
          <t>Q2</t>
        </is>
      </c>
      <c r="K20" s="7" t="inlineStr">
        <is>
          <t>VÕ BẢO MINH</t>
        </is>
      </c>
      <c r="L20" s="7" t="inlineStr">
        <is>
          <t>minhvo@phs.vn</t>
        </is>
      </c>
      <c r="M20" s="9" t="n">
        <v>46148.57916666667</v>
      </c>
      <c r="N20" s="7" t="n"/>
      <c r="O20" s="7" t="n"/>
      <c r="P20" s="8" t="inlineStr"/>
      <c r="Q20" s="8" t="inlineStr"/>
    </row>
    <row r="21" ht="24" customHeight="1" s="5">
      <c r="A21" s="7" t="inlineStr">
        <is>
          <t>2275303</t>
        </is>
      </c>
      <c r="B21" s="7" t="inlineStr">
        <is>
          <t>9956507</t>
        </is>
      </c>
      <c r="C21" s="8" t="inlineStr">
        <is>
          <t>[CR] [2275303] [SS] Enhance securities depository features via the PHS Elite Trading application</t>
        </is>
      </c>
      <c r="D21" s="7" t="inlineStr">
        <is>
          <t>Dev Team B</t>
        </is>
      </c>
      <c r="E21" s="7" t="inlineStr">
        <is>
          <t>CR</t>
        </is>
      </c>
      <c r="F21" s="7" t="inlineStr">
        <is>
          <t>SS</t>
        </is>
      </c>
      <c r="G21" s="7" t="inlineStr">
        <is>
          <t>Medium</t>
        </is>
      </c>
      <c r="H21" s="7" t="inlineStr">
        <is>
          <t>Done</t>
        </is>
      </c>
      <c r="I21" s="7" t="inlineStr">
        <is>
          <t>Ready for go-live</t>
        </is>
      </c>
      <c r="J21" s="7" t="inlineStr">
        <is>
          <t>Q2</t>
        </is>
      </c>
      <c r="K21" s="7" t="inlineStr">
        <is>
          <t>VÕ BẢO MINH</t>
        </is>
      </c>
      <c r="L21" s="7" t="inlineStr">
        <is>
          <t>minhvo@phs.vn</t>
        </is>
      </c>
      <c r="M21" s="9" t="n">
        <v>46126.38680555556</v>
      </c>
      <c r="N21" s="9" t="n">
        <v>46146.99930555555</v>
      </c>
      <c r="O21" s="9" t="n">
        <v>46147.73819444444</v>
      </c>
      <c r="P21" s="8" t="inlineStr">
        <is>
          <t>2275303</t>
        </is>
      </c>
      <c r="Q21" s="8" t="inlineStr"/>
    </row>
    <row r="22" ht="24" customHeight="1" s="5">
      <c r="A22" s="7" t="inlineStr">
        <is>
          <t>2400155</t>
        </is>
      </c>
      <c r="B22" s="7" t="inlineStr">
        <is>
          <t>9956961</t>
        </is>
      </c>
      <c r="C22" s="8" t="inlineStr">
        <is>
          <t>[CR] [2400155] [MKT] Develop Mission Tracking Page for Promotion</t>
        </is>
      </c>
      <c r="D22" s="7" t="inlineStr">
        <is>
          <t>Dev Team B</t>
        </is>
      </c>
      <c r="E22" s="7" t="inlineStr">
        <is>
          <t>CR</t>
        </is>
      </c>
      <c r="F22" s="7" t="inlineStr">
        <is>
          <t>MKT</t>
        </is>
      </c>
      <c r="G22" s="7" t="inlineStr">
        <is>
          <t>Medium</t>
        </is>
      </c>
      <c r="H22" s="7" t="inlineStr">
        <is>
          <t>Done</t>
        </is>
      </c>
      <c r="I22" s="7" t="inlineStr">
        <is>
          <t>Go-live</t>
        </is>
      </c>
      <c r="J22" s="7" t="inlineStr">
        <is>
          <t>Q2</t>
        </is>
      </c>
      <c r="K22" s="7" t="inlineStr">
        <is>
          <t>VÕ BẢO MINH</t>
        </is>
      </c>
      <c r="L22" s="7" t="inlineStr">
        <is>
          <t>minhvo@phs.vn</t>
        </is>
      </c>
      <c r="M22" s="9" t="n">
        <v>46126.40486111111</v>
      </c>
      <c r="N22" s="9" t="n">
        <v>46199.99930555555</v>
      </c>
      <c r="O22" s="9" t="n">
        <v>46202.34513888889</v>
      </c>
      <c r="P22" s="8" t="inlineStr">
        <is>
          <t>2400155</t>
        </is>
      </c>
      <c r="Q22" s="8" t="inlineStr"/>
    </row>
    <row r="23" ht="24" customHeight="1" s="5">
      <c r="A23" s="7" t="inlineStr">
        <is>
          <t>2423945</t>
        </is>
      </c>
      <c r="B23" s="7" t="inlineStr">
        <is>
          <t>10055837</t>
        </is>
      </c>
      <c r="C23" s="8" t="inlineStr">
        <is>
          <t>[CR] [2423945] [SS] Enhance the promotional declaration feature on the Admin Portal</t>
        </is>
      </c>
      <c r="D23" s="7" t="inlineStr">
        <is>
          <t>Dev Team B</t>
        </is>
      </c>
      <c r="E23" s="7" t="inlineStr">
        <is>
          <t>CR</t>
        </is>
      </c>
      <c r="F23" s="7" t="inlineStr">
        <is>
          <t>SS</t>
        </is>
      </c>
      <c r="G23" s="7" t="inlineStr">
        <is>
          <t>Low</t>
        </is>
      </c>
      <c r="H23" s="7" t="inlineStr">
        <is>
          <t>Done</t>
        </is>
      </c>
      <c r="I23" s="7" t="inlineStr">
        <is>
          <t>Go-live</t>
        </is>
      </c>
      <c r="J23" s="7" t="inlineStr">
        <is>
          <t>Q2</t>
        </is>
      </c>
      <c r="K23" s="7" t="inlineStr">
        <is>
          <t>VÕ BẢO MINH</t>
        </is>
      </c>
      <c r="L23" s="7" t="inlineStr">
        <is>
          <t>minhvo@phs.vn</t>
        </is>
      </c>
      <c r="M23" s="9" t="n">
        <v>46147.74166666667</v>
      </c>
      <c r="N23" s="7" t="n"/>
      <c r="O23" s="9" t="n">
        <v>46174.34097222222</v>
      </c>
      <c r="P23" s="8" t="inlineStr"/>
      <c r="Q23" s="8" t="inlineStr"/>
    </row>
    <row r="24" ht="24" customHeight="1" s="5">
      <c r="A24" s="7" t="inlineStr">
        <is>
          <t>2154685</t>
        </is>
      </c>
      <c r="B24" s="7" t="inlineStr">
        <is>
          <t>9956498</t>
        </is>
      </c>
      <c r="C24" s="8" t="inlineStr">
        <is>
          <t>[CR] [2154685] [BMD] Upgrade fund certificate trading feature on Mobile app</t>
        </is>
      </c>
      <c r="D24" s="7" t="inlineStr">
        <is>
          <t>Dev Team B</t>
        </is>
      </c>
      <c r="E24" s="7" t="inlineStr">
        <is>
          <t>CR</t>
        </is>
      </c>
      <c r="F24" s="7" t="inlineStr">
        <is>
          <t>BMD</t>
        </is>
      </c>
      <c r="G24" s="7" t="inlineStr">
        <is>
          <t>Medium</t>
        </is>
      </c>
      <c r="H24" s="7" t="inlineStr">
        <is>
          <t>Done</t>
        </is>
      </c>
      <c r="I24" s="7" t="inlineStr">
        <is>
          <t>Go-live</t>
        </is>
      </c>
      <c r="J24" s="7" t="inlineStr">
        <is>
          <t>Q2</t>
        </is>
      </c>
      <c r="K24" s="7" t="inlineStr">
        <is>
          <t>VÕ BẢO MINH</t>
        </is>
      </c>
      <c r="L24" s="7" t="inlineStr">
        <is>
          <t>minhvo@phs.vn</t>
        </is>
      </c>
      <c r="M24" s="9" t="n">
        <v>46126.38541666666</v>
      </c>
      <c r="N24" s="9" t="n">
        <v>46140.99930555555</v>
      </c>
      <c r="O24" s="9" t="n">
        <v>46147.60833333333</v>
      </c>
      <c r="P24" s="8" t="inlineStr">
        <is>
          <t>2154685</t>
        </is>
      </c>
      <c r="Q24" s="8" t="inlineStr"/>
    </row>
    <row r="25" ht="24" customHeight="1" s="5">
      <c r="A25" s="7" t="inlineStr">
        <is>
          <t>2385402</t>
        </is>
      </c>
      <c r="B25" s="7" t="inlineStr">
        <is>
          <t>9956496</t>
        </is>
      </c>
      <c r="C25" s="8" t="inlineStr">
        <is>
          <t>[CR] [2385402] [MKT] Create popup on web phs.vn to promote for landing page PHS 20 Years Anniversary</t>
        </is>
      </c>
      <c r="D25" s="7" t="inlineStr">
        <is>
          <t>Dev Team B</t>
        </is>
      </c>
      <c r="E25" s="7" t="inlineStr">
        <is>
          <t>CR</t>
        </is>
      </c>
      <c r="F25" s="7" t="inlineStr">
        <is>
          <t>MKT</t>
        </is>
      </c>
      <c r="G25" s="7" t="inlineStr">
        <is>
          <t>Low</t>
        </is>
      </c>
      <c r="H25" s="7" t="inlineStr">
        <is>
          <t>Done</t>
        </is>
      </c>
      <c r="I25" s="7" t="inlineStr">
        <is>
          <t>Go-live</t>
        </is>
      </c>
      <c r="J25" s="7" t="inlineStr">
        <is>
          <t>Q2</t>
        </is>
      </c>
      <c r="K25" s="7" t="inlineStr">
        <is>
          <t>VÕ BẢO MINH</t>
        </is>
      </c>
      <c r="L25" s="7" t="inlineStr">
        <is>
          <t>minhvo@phs.vn</t>
        </is>
      </c>
      <c r="M25" s="9" t="n">
        <v>46126.38541666666</v>
      </c>
      <c r="N25" s="7" t="n"/>
      <c r="O25" s="9" t="n">
        <v>46137.38680555556</v>
      </c>
      <c r="P25" s="8" t="inlineStr"/>
      <c r="Q25" s="8" t="inlineStr"/>
    </row>
    <row r="26" ht="24" customHeight="1" s="5">
      <c r="A26" s="7" t="inlineStr">
        <is>
          <t>2197982</t>
        </is>
      </c>
      <c r="B26" s="7" t="inlineStr">
        <is>
          <t>9956499</t>
        </is>
      </c>
      <c r="C26" s="8" t="inlineStr">
        <is>
          <t>[CR] [2197982] [RS] Research Landing Page: All Features &amp; Phase 1 Execution</t>
        </is>
      </c>
      <c r="D26" s="7" t="inlineStr">
        <is>
          <t>Dev Team B</t>
        </is>
      </c>
      <c r="E26" s="7" t="inlineStr">
        <is>
          <t>CR</t>
        </is>
      </c>
      <c r="F26" s="7" t="inlineStr">
        <is>
          <t>RS</t>
        </is>
      </c>
      <c r="G26" s="7" t="inlineStr">
        <is>
          <t>Low</t>
        </is>
      </c>
      <c r="H26" s="7" t="inlineStr">
        <is>
          <t>Done</t>
        </is>
      </c>
      <c r="I26" s="7" t="inlineStr">
        <is>
          <t>Go-live</t>
        </is>
      </c>
      <c r="J26" s="7" t="inlineStr">
        <is>
          <t>Q2</t>
        </is>
      </c>
      <c r="K26" s="7" t="inlineStr">
        <is>
          <t>VÕ BẢO MINH</t>
        </is>
      </c>
      <c r="L26" s="7" t="inlineStr">
        <is>
          <t>minhvo@phs.vn</t>
        </is>
      </c>
      <c r="M26" s="9" t="n">
        <v>46126.38611111111</v>
      </c>
      <c r="N26" s="7" t="n"/>
      <c r="O26" s="9" t="n">
        <v>46132.35277777778</v>
      </c>
      <c r="P26" s="8" t="inlineStr"/>
      <c r="Q26" s="8" t="inlineStr"/>
    </row>
    <row r="27" ht="24" customHeight="1" s="5">
      <c r="A27" s="7" t="inlineStr">
        <is>
          <t>2506884</t>
        </is>
      </c>
      <c r="B27" s="7" t="inlineStr">
        <is>
          <t>10334131</t>
        </is>
      </c>
      <c r="C27" s="8" t="inlineStr">
        <is>
          <t>[CR] [2506884] [LG] Touchpoint for products</t>
        </is>
      </c>
      <c r="D27" s="7" t="inlineStr">
        <is>
          <t>Team Mobile</t>
        </is>
      </c>
      <c r="E27" s="7" t="inlineStr">
        <is>
          <t>CR</t>
        </is>
      </c>
      <c r="F27" s="7" t="inlineStr">
        <is>
          <t>LG</t>
        </is>
      </c>
      <c r="G27" s="7" t="inlineStr">
        <is>
          <t>Low</t>
        </is>
      </c>
      <c r="H27" s="7" t="inlineStr">
        <is>
          <t>Todo</t>
        </is>
      </c>
      <c r="I27" s="7" t="inlineStr">
        <is>
          <t>Backlog</t>
        </is>
      </c>
      <c r="J27" s="7" t="inlineStr">
        <is>
          <t>Q3</t>
        </is>
      </c>
      <c r="K27" s="7" t="inlineStr">
        <is>
          <t>VÕ THANH PHONG</t>
        </is>
      </c>
      <c r="L27" s="7" t="inlineStr">
        <is>
          <t>phongvo@phs.vn</t>
        </is>
      </c>
      <c r="M27" s="9" t="n">
        <v>46204.39930555555</v>
      </c>
      <c r="N27" s="7" t="n"/>
      <c r="O27" s="7" t="n"/>
      <c r="P27" s="8" t="inlineStr"/>
      <c r="Q27" s="8" t="inlineStr"/>
    </row>
    <row r="28" ht="24" customHeight="1" s="5">
      <c r="A28" s="7" t="inlineStr">
        <is>
          <t>2526008</t>
        </is>
      </c>
      <c r="B28" s="7" t="inlineStr">
        <is>
          <t>10334133</t>
        </is>
      </c>
      <c r="C28" s="8" t="inlineStr">
        <is>
          <t>[CR] [2526008] [LG] Goal-based tool phase 2 and Touchpoint for tool</t>
        </is>
      </c>
      <c r="D28" s="7" t="inlineStr">
        <is>
          <t>Team Mobile</t>
        </is>
      </c>
      <c r="E28" s="7" t="inlineStr">
        <is>
          <t>CR</t>
        </is>
      </c>
      <c r="F28" s="7" t="inlineStr">
        <is>
          <t>LG</t>
        </is>
      </c>
      <c r="G28" s="7" t="inlineStr">
        <is>
          <t>Low</t>
        </is>
      </c>
      <c r="H28" s="7" t="inlineStr">
        <is>
          <t>Todo</t>
        </is>
      </c>
      <c r="I28" s="7" t="inlineStr">
        <is>
          <t>Backlog</t>
        </is>
      </c>
      <c r="J28" s="7" t="inlineStr">
        <is>
          <t>Q3</t>
        </is>
      </c>
      <c r="K28" s="7" t="inlineStr">
        <is>
          <t>VÕ THANH PHONG</t>
        </is>
      </c>
      <c r="L28" s="7" t="inlineStr">
        <is>
          <t>phongvo@phs.vn</t>
        </is>
      </c>
      <c r="M28" s="9" t="n">
        <v>46204.39930555555</v>
      </c>
      <c r="N28" s="7" t="n"/>
      <c r="O28" s="7" t="n"/>
      <c r="P28" s="8" t="inlineStr"/>
      <c r="Q28" s="8" t="inlineStr"/>
    </row>
    <row r="29" ht="24" customHeight="1" s="5">
      <c r="A29" s="7" t="inlineStr">
        <is>
          <t>2482578</t>
        </is>
      </c>
      <c r="B29" s="7" t="inlineStr">
        <is>
          <t>10209339</t>
        </is>
      </c>
      <c r="C29" s="8" t="inlineStr">
        <is>
          <t>[CR] [2482578] [AC] Upgrade the QR Code Deposit Function on the PHS App</t>
        </is>
      </c>
      <c r="D29" s="7" t="inlineStr">
        <is>
          <t>Team Mobile</t>
        </is>
      </c>
      <c r="E29" s="7" t="inlineStr">
        <is>
          <t>CR</t>
        </is>
      </c>
      <c r="F29" s="7" t="inlineStr">
        <is>
          <t>AC</t>
        </is>
      </c>
      <c r="G29" s="7" t="inlineStr">
        <is>
          <t>Low</t>
        </is>
      </c>
      <c r="H29" s="7" t="inlineStr">
        <is>
          <t>Todo</t>
        </is>
      </c>
      <c r="I29" s="7" t="inlineStr">
        <is>
          <t>Backlog</t>
        </is>
      </c>
      <c r="J29" s="7" t="inlineStr">
        <is>
          <t>Q3</t>
        </is>
      </c>
      <c r="K29" s="7" t="inlineStr">
        <is>
          <t>VÕ THANH PHONG</t>
        </is>
      </c>
      <c r="L29" s="7" t="inlineStr">
        <is>
          <t>phongvo@phs.vn</t>
        </is>
      </c>
      <c r="M29" s="9" t="n">
        <v>46178.40902777778</v>
      </c>
      <c r="N29" s="7" t="n"/>
      <c r="O29" s="7" t="n"/>
      <c r="P29" s="8" t="inlineStr"/>
      <c r="Q29" s="8" t="inlineStr"/>
    </row>
    <row r="30" ht="24" customHeight="1" s="5">
      <c r="A30" s="7" t="inlineStr">
        <is>
          <t>2216483</t>
        </is>
      </c>
      <c r="B30" s="7" t="inlineStr">
        <is>
          <t>10334127</t>
        </is>
      </c>
      <c r="C30" s="8" t="inlineStr">
        <is>
          <t>[CR] [2216483] [MSD] Loyalty system on mobile app (phase 2)</t>
        </is>
      </c>
      <c r="D30" s="7" t="inlineStr">
        <is>
          <t>Team Mobile</t>
        </is>
      </c>
      <c r="E30" s="7" t="inlineStr">
        <is>
          <t>CR</t>
        </is>
      </c>
      <c r="F30" s="7" t="inlineStr">
        <is>
          <t>MSD</t>
        </is>
      </c>
      <c r="G30" s="7" t="inlineStr">
        <is>
          <t>Low</t>
        </is>
      </c>
      <c r="H30" s="7" t="inlineStr">
        <is>
          <t>Doing</t>
        </is>
      </c>
      <c r="I30" s="7" t="inlineStr">
        <is>
          <t>Web B Coding</t>
        </is>
      </c>
      <c r="J30" s="7" t="inlineStr">
        <is>
          <t>Q3</t>
        </is>
      </c>
      <c r="K30" s="7" t="inlineStr">
        <is>
          <t>VÕ THANH PHONG</t>
        </is>
      </c>
      <c r="L30" s="7" t="inlineStr">
        <is>
          <t>phongvo@phs.vn</t>
        </is>
      </c>
      <c r="M30" s="9" t="n">
        <v>46204.39861111111</v>
      </c>
      <c r="N30" s="7" t="n"/>
      <c r="O30" s="7" t="n"/>
      <c r="P30" s="8" t="inlineStr">
        <is>
          <t>2216483</t>
        </is>
      </c>
      <c r="Q30" s="8" t="inlineStr"/>
    </row>
    <row r="31" ht="24" customHeight="1" s="5">
      <c r="A31" s="7" t="inlineStr">
        <is>
          <t>2540233</t>
        </is>
      </c>
      <c r="B31" s="7" t="inlineStr">
        <is>
          <t>10334124</t>
        </is>
      </c>
      <c r="C31" s="8" t="inlineStr">
        <is>
          <t>[CR] [2540233] [MSD] FIFA WORLD CUP CHALLENGE 2026</t>
        </is>
      </c>
      <c r="D31" s="7" t="inlineStr">
        <is>
          <t>Team Mobile</t>
        </is>
      </c>
      <c r="E31" s="7" t="inlineStr">
        <is>
          <t>CR</t>
        </is>
      </c>
      <c r="F31" s="7" t="inlineStr">
        <is>
          <t>MSD</t>
        </is>
      </c>
      <c r="G31" s="7" t="inlineStr">
        <is>
          <t>Low</t>
        </is>
      </c>
      <c r="H31" s="7" t="inlineStr">
        <is>
          <t>Doing</t>
        </is>
      </c>
      <c r="I31" s="7" t="inlineStr">
        <is>
          <t>Discuss Req</t>
        </is>
      </c>
      <c r="J31" s="7" t="inlineStr">
        <is>
          <t>Q3</t>
        </is>
      </c>
      <c r="K31" s="7" t="inlineStr">
        <is>
          <t>VÕ THANH PHONG</t>
        </is>
      </c>
      <c r="L31" s="7" t="inlineStr">
        <is>
          <t>phongvo@phs.vn</t>
        </is>
      </c>
      <c r="M31" s="9" t="n">
        <v>46204.39791666667</v>
      </c>
      <c r="N31" s="7" t="n"/>
      <c r="O31" s="7" t="n"/>
      <c r="P31" s="8" t="inlineStr">
        <is>
          <t>2540233</t>
        </is>
      </c>
      <c r="Q31" s="8" t="inlineStr"/>
    </row>
    <row r="32" ht="24" customHeight="1" s="5">
      <c r="A32" s="7" t="inlineStr">
        <is>
          <t>2415056</t>
        </is>
      </c>
      <c r="B32" s="7" t="inlineStr">
        <is>
          <t>10209283</t>
        </is>
      </c>
      <c r="C32" s="8" t="inlineStr">
        <is>
          <t>[CR] [2415056] [MKT] Implementation of “Partner Offers” on PHS Mobile App</t>
        </is>
      </c>
      <c r="D32" s="7" t="inlineStr">
        <is>
          <t>Team Mobile</t>
        </is>
      </c>
      <c r="E32" s="7" t="inlineStr">
        <is>
          <t>CR</t>
        </is>
      </c>
      <c r="F32" s="7" t="inlineStr">
        <is>
          <t>MKT</t>
        </is>
      </c>
      <c r="G32" s="7" t="inlineStr">
        <is>
          <t>Low</t>
        </is>
      </c>
      <c r="H32" s="7" t="inlineStr">
        <is>
          <t>Todo</t>
        </is>
      </c>
      <c r="I32" s="7" t="inlineStr">
        <is>
          <t>Backlog</t>
        </is>
      </c>
      <c r="J32" s="7" t="inlineStr">
        <is>
          <t>Q3</t>
        </is>
      </c>
      <c r="K32" s="7" t="inlineStr">
        <is>
          <t>VÕ THANH PHONG</t>
        </is>
      </c>
      <c r="L32" s="7" t="inlineStr">
        <is>
          <t>phongvo@phs.vn</t>
        </is>
      </c>
      <c r="M32" s="9" t="n">
        <v>46178.40763888889</v>
      </c>
      <c r="N32" s="7" t="n"/>
      <c r="O32" s="7" t="n"/>
      <c r="P32" s="8" t="inlineStr">
        <is>
          <t>2415056</t>
        </is>
      </c>
      <c r="Q32" s="8" t="inlineStr"/>
    </row>
    <row r="33" ht="24" customHeight="1" s="5">
      <c r="A33" s="7" t="inlineStr">
        <is>
          <t>2310394</t>
        </is>
      </c>
      <c r="B33" s="7" t="inlineStr">
        <is>
          <t>10334126</t>
        </is>
      </c>
      <c r="C33" s="8" t="inlineStr">
        <is>
          <t>[CR] [2310394] [AC] Tax analysis and estimation tools for investors (phase 2)</t>
        </is>
      </c>
      <c r="D33" s="7" t="inlineStr">
        <is>
          <t>Team Mobile</t>
        </is>
      </c>
      <c r="E33" s="7" t="inlineStr">
        <is>
          <t>CR</t>
        </is>
      </c>
      <c r="F33" s="7" t="inlineStr">
        <is>
          <t>AC</t>
        </is>
      </c>
      <c r="G33" s="7" t="inlineStr">
        <is>
          <t>Low</t>
        </is>
      </c>
      <c r="H33" s="7" t="inlineStr">
        <is>
          <t>Blocked</t>
        </is>
      </c>
      <c r="I33" s="7" t="inlineStr">
        <is>
          <t>Waiting FTL</t>
        </is>
      </c>
      <c r="J33" s="7" t="inlineStr">
        <is>
          <t>Q3</t>
        </is>
      </c>
      <c r="K33" s="7" t="inlineStr">
        <is>
          <t>VÕ THANH PHONG</t>
        </is>
      </c>
      <c r="L33" s="7" t="inlineStr">
        <is>
          <t>phongvo@phs.vn</t>
        </is>
      </c>
      <c r="M33" s="9" t="n">
        <v>46204.39791666667</v>
      </c>
      <c r="N33" s="7" t="n"/>
      <c r="O33" s="7" t="n"/>
      <c r="P33" s="8" t="inlineStr">
        <is>
          <t>2310394</t>
        </is>
      </c>
      <c r="Q33" s="8" t="inlineStr"/>
    </row>
    <row r="34" ht="24" customHeight="1" s="5">
      <c r="A34" s="7" t="inlineStr">
        <is>
          <t>2291957</t>
        </is>
      </c>
      <c r="B34" s="7" t="inlineStr">
        <is>
          <t>10209368</t>
        </is>
      </c>
      <c r="C34" s="8" t="inlineStr">
        <is>
          <t>[CR] [2291957] [IC] Update the account opening function on the PHS Elite app login screen</t>
        </is>
      </c>
      <c r="D34" s="7" t="inlineStr">
        <is>
          <t>Team Mobile</t>
        </is>
      </c>
      <c r="E34" s="7" t="inlineStr">
        <is>
          <t>CR</t>
        </is>
      </c>
      <c r="F34" s="7" t="inlineStr">
        <is>
          <t>IC</t>
        </is>
      </c>
      <c r="G34" s="7" t="inlineStr">
        <is>
          <t>Low</t>
        </is>
      </c>
      <c r="H34" s="7" t="inlineStr">
        <is>
          <t>Doing</t>
        </is>
      </c>
      <c r="I34" s="7" t="inlineStr">
        <is>
          <t>Discuss Req</t>
        </is>
      </c>
      <c r="J34" s="7" t="inlineStr">
        <is>
          <t>Q3</t>
        </is>
      </c>
      <c r="K34" s="7" t="inlineStr">
        <is>
          <t>VÕ THANH PHONG</t>
        </is>
      </c>
      <c r="L34" s="7" t="inlineStr">
        <is>
          <t>phongvo@phs.vn</t>
        </is>
      </c>
      <c r="M34" s="9" t="n">
        <v>46178.4125</v>
      </c>
      <c r="N34" s="7" t="n"/>
      <c r="O34" s="7" t="n"/>
      <c r="P34" s="8" t="inlineStr"/>
      <c r="Q34" s="8" t="inlineStr"/>
    </row>
    <row r="35" ht="24" customHeight="1" s="5">
      <c r="A35" s="7" t="inlineStr">
        <is>
          <t>2397922</t>
        </is>
      </c>
      <c r="B35" s="7" t="inlineStr">
        <is>
          <t>9953690</t>
        </is>
      </c>
      <c r="C35" s="8" t="inlineStr">
        <is>
          <t>[CR] [2397922] [LG] Enhance filter for Elite Fund</t>
        </is>
      </c>
      <c r="D35" s="7" t="inlineStr">
        <is>
          <t>Team Mobile</t>
        </is>
      </c>
      <c r="E35" s="7" t="inlineStr">
        <is>
          <t>CR</t>
        </is>
      </c>
      <c r="F35" s="7" t="inlineStr">
        <is>
          <t>LG</t>
        </is>
      </c>
      <c r="G35" s="7" t="inlineStr">
        <is>
          <t>Low</t>
        </is>
      </c>
      <c r="H35" s="7" t="inlineStr">
        <is>
          <t>Todo</t>
        </is>
      </c>
      <c r="I35" s="7" t="inlineStr">
        <is>
          <t>Dev To do</t>
        </is>
      </c>
      <c r="J35" s="7" t="inlineStr">
        <is>
          <t>Q3</t>
        </is>
      </c>
      <c r="K35" s="7" t="inlineStr">
        <is>
          <t>VÕ THANH PHONG</t>
        </is>
      </c>
      <c r="L35" s="7" t="inlineStr">
        <is>
          <t>phongvo@phs.vn</t>
        </is>
      </c>
      <c r="M35" s="9" t="n">
        <v>46125.72291666667</v>
      </c>
      <c r="N35" s="7" t="n"/>
      <c r="O35" s="7" t="n"/>
      <c r="P35" s="8" t="inlineStr"/>
      <c r="Q35" s="8" t="inlineStr"/>
    </row>
    <row r="36" ht="24" customHeight="1" s="5">
      <c r="A36" s="7" t="inlineStr">
        <is>
          <t>2317336</t>
        </is>
      </c>
      <c r="B36" s="7" t="inlineStr">
        <is>
          <t>9739425</t>
        </is>
      </c>
      <c r="C36" s="8" t="inlineStr">
        <is>
          <t>[CR] [2317336] [AC] Proposal to implement an automated cash dividend reinvestment service (Auto-DRIP) on PHS Elite app</t>
        </is>
      </c>
      <c r="D36" s="7" t="inlineStr">
        <is>
          <t>Team Mobile</t>
        </is>
      </c>
      <c r="E36" s="7" t="inlineStr">
        <is>
          <t>CR</t>
        </is>
      </c>
      <c r="F36" s="7" t="inlineStr">
        <is>
          <t>AC</t>
        </is>
      </c>
      <c r="G36" s="7" t="inlineStr">
        <is>
          <t>Low</t>
        </is>
      </c>
      <c r="H36" s="7" t="inlineStr">
        <is>
          <t>Doing</t>
        </is>
      </c>
      <c r="I36" s="7" t="inlineStr">
        <is>
          <t>Design review</t>
        </is>
      </c>
      <c r="J36" s="7" t="inlineStr">
        <is>
          <t>Q3</t>
        </is>
      </c>
      <c r="K36" s="7" t="inlineStr"/>
      <c r="L36" s="7" t="inlineStr">
        <is>
          <t>phongvo@phs.vn</t>
        </is>
      </c>
      <c r="M36" s="9" t="n">
        <v>46084.69444444445</v>
      </c>
      <c r="N36" s="7" t="n"/>
      <c r="O36" s="7" t="n"/>
      <c r="P36" s="8" t="inlineStr"/>
      <c r="Q36" s="8" t="inlineStr"/>
    </row>
    <row r="37" ht="24" customHeight="1" s="5">
      <c r="A37" s="7" t="inlineStr">
        <is>
          <t>2330515</t>
        </is>
      </c>
      <c r="B37" s="7" t="inlineStr">
        <is>
          <t>9953664</t>
        </is>
      </c>
      <c r="C37" s="8" t="inlineStr">
        <is>
          <t>[CR] [2330515] [RMD] IPO Share Subscription Feature</t>
        </is>
      </c>
      <c r="D37" s="7" t="inlineStr">
        <is>
          <t>Team Mobile</t>
        </is>
      </c>
      <c r="E37" s="7" t="inlineStr">
        <is>
          <t>CR</t>
        </is>
      </c>
      <c r="F37" s="7" t="inlineStr">
        <is>
          <t>RMD</t>
        </is>
      </c>
      <c r="G37" s="7" t="inlineStr">
        <is>
          <t>Low</t>
        </is>
      </c>
      <c r="H37" s="7" t="inlineStr">
        <is>
          <t>Doing</t>
        </is>
      </c>
      <c r="I37" s="7" t="inlineStr">
        <is>
          <t>Design UI/UX</t>
        </is>
      </c>
      <c r="J37" s="7" t="inlineStr">
        <is>
          <t>Q3</t>
        </is>
      </c>
      <c r="K37" s="7" t="inlineStr">
        <is>
          <t>VÕ THANH PHONG</t>
        </is>
      </c>
      <c r="L37" s="7" t="inlineStr">
        <is>
          <t>phongvo@phs.vn</t>
        </is>
      </c>
      <c r="M37" s="9" t="n">
        <v>46125.71597222222</v>
      </c>
      <c r="N37" s="7" t="n"/>
      <c r="O37" s="7" t="n"/>
      <c r="P37" s="8" t="inlineStr">
        <is>
          <t>2330515</t>
        </is>
      </c>
      <c r="Q37" s="8" t="inlineStr"/>
    </row>
    <row r="38" ht="24" customHeight="1" s="5">
      <c r="A38" s="7" t="inlineStr">
        <is>
          <t>2438262</t>
        </is>
      </c>
      <c r="B38" s="7" t="inlineStr">
        <is>
          <t>10334129</t>
        </is>
      </c>
      <c r="C38" s="8" t="inlineStr">
        <is>
          <t>[CR] [2438262] [LG]_Goal-based Tool</t>
        </is>
      </c>
      <c r="D38" s="7" t="inlineStr">
        <is>
          <t>Team Mobile</t>
        </is>
      </c>
      <c r="E38" s="7" t="inlineStr">
        <is>
          <t>CR</t>
        </is>
      </c>
      <c r="F38" s="7" t="inlineStr">
        <is>
          <t>LG</t>
        </is>
      </c>
      <c r="G38" s="7" t="inlineStr">
        <is>
          <t>Low</t>
        </is>
      </c>
      <c r="H38" s="7" t="inlineStr">
        <is>
          <t>Todo</t>
        </is>
      </c>
      <c r="I38" s="7" t="inlineStr">
        <is>
          <t>Backlog</t>
        </is>
      </c>
      <c r="J38" s="7" t="inlineStr">
        <is>
          <t>Q3</t>
        </is>
      </c>
      <c r="K38" s="7" t="inlineStr">
        <is>
          <t>VÕ THANH PHONG</t>
        </is>
      </c>
      <c r="L38" s="7" t="inlineStr">
        <is>
          <t>phongvo@phs.vn</t>
        </is>
      </c>
      <c r="M38" s="9" t="n">
        <v>46204.39861111111</v>
      </c>
      <c r="N38" s="7" t="n"/>
      <c r="O38" s="7" t="n"/>
      <c r="P38" s="8" t="inlineStr"/>
      <c r="Q38" s="8" t="inlineStr"/>
    </row>
    <row r="39" ht="24" customHeight="1" s="5">
      <c r="A39" s="7" t="inlineStr">
        <is>
          <t>2289280</t>
        </is>
      </c>
      <c r="B39" s="7" t="inlineStr">
        <is>
          <t>9739426</t>
        </is>
      </c>
      <c r="C39" s="8" t="inlineStr">
        <is>
          <t>[CR] [2289280] [FN] Future-Dated Withdrawal Scheduling for Customers</t>
        </is>
      </c>
      <c r="D39" s="7" t="inlineStr">
        <is>
          <t>Team Mobile</t>
        </is>
      </c>
      <c r="E39" s="7" t="inlineStr">
        <is>
          <t>CR</t>
        </is>
      </c>
      <c r="F39" s="7" t="inlineStr">
        <is>
          <t>FN</t>
        </is>
      </c>
      <c r="G39" s="7" t="inlineStr">
        <is>
          <t>Low</t>
        </is>
      </c>
      <c r="H39" s="7" t="inlineStr">
        <is>
          <t>Todo</t>
        </is>
      </c>
      <c r="I39" s="7" t="inlineStr">
        <is>
          <t>Dev To do</t>
        </is>
      </c>
      <c r="J39" s="7" t="inlineStr">
        <is>
          <t>Q3</t>
        </is>
      </c>
      <c r="K39" s="7" t="inlineStr"/>
      <c r="L39" s="7" t="inlineStr">
        <is>
          <t>phongvo@phs.vn</t>
        </is>
      </c>
      <c r="M39" s="9" t="n">
        <v>46084.69444444445</v>
      </c>
      <c r="N39" s="7" t="n"/>
      <c r="O39" s="7" t="n"/>
      <c r="P39" s="8" t="inlineStr">
        <is>
          <t>2289280</t>
        </is>
      </c>
      <c r="Q39" s="8" t="inlineStr"/>
    </row>
    <row r="40" ht="24" customHeight="1" s="5">
      <c r="A40" s="7" t="inlineStr">
        <is>
          <t>2307583</t>
        </is>
      </c>
      <c r="B40" s="7" t="inlineStr">
        <is>
          <t>9953685</t>
        </is>
      </c>
      <c r="C40" s="8" t="inlineStr">
        <is>
          <t>[CR] [2307583] [LG] PHS BondTerm – Fixed-Tenor Bond Investment Package (via Listed Bonds</t>
        </is>
      </c>
      <c r="D40" s="7" t="inlineStr">
        <is>
          <t>Team Mobile</t>
        </is>
      </c>
      <c r="E40" s="7" t="inlineStr">
        <is>
          <t>CR</t>
        </is>
      </c>
      <c r="F40" s="7" t="inlineStr">
        <is>
          <t>LG</t>
        </is>
      </c>
      <c r="G40" s="7" t="inlineStr">
        <is>
          <t>Low</t>
        </is>
      </c>
      <c r="H40" s="7" t="inlineStr">
        <is>
          <t>Todo</t>
        </is>
      </c>
      <c r="I40" s="7" t="inlineStr">
        <is>
          <t>Discuss Req</t>
        </is>
      </c>
      <c r="J40" s="7" t="inlineStr">
        <is>
          <t>Backlog</t>
        </is>
      </c>
      <c r="K40" s="7" t="inlineStr">
        <is>
          <t>VÕ THANH PHONG</t>
        </is>
      </c>
      <c r="L40" s="7" t="inlineStr">
        <is>
          <t>phongvo@phs.vn</t>
        </is>
      </c>
      <c r="M40" s="9" t="n">
        <v>46125.72083333333</v>
      </c>
      <c r="N40" s="7" t="n"/>
      <c r="O40" s="7" t="n"/>
      <c r="P40" s="8" t="inlineStr"/>
      <c r="Q40" s="8" t="inlineStr"/>
    </row>
    <row r="41" ht="24" customHeight="1" s="5">
      <c r="A41" s="7" t="inlineStr">
        <is>
          <t>2376660</t>
        </is>
      </c>
      <c r="B41" s="7" t="inlineStr">
        <is>
          <t>9953687</t>
        </is>
      </c>
      <c r="C41" s="8" t="inlineStr">
        <is>
          <t>[CR] [2376660] [CCC] Assessment of Requirements from RAR Center for the VNeID Integration into the eKYC Account Opening Process Project</t>
        </is>
      </c>
      <c r="D41" s="7" t="inlineStr">
        <is>
          <t>Team Mobile</t>
        </is>
      </c>
      <c r="E41" s="7" t="inlineStr">
        <is>
          <t>CR</t>
        </is>
      </c>
      <c r="F41" s="7" t="inlineStr">
        <is>
          <t>CCC</t>
        </is>
      </c>
      <c r="G41" s="7" t="inlineStr">
        <is>
          <t>Low</t>
        </is>
      </c>
      <c r="H41" s="7" t="inlineStr">
        <is>
          <t>Todo</t>
        </is>
      </c>
      <c r="I41" s="7" t="inlineStr">
        <is>
          <t>Backlog</t>
        </is>
      </c>
      <c r="J41" s="7" t="inlineStr">
        <is>
          <t>Backlog</t>
        </is>
      </c>
      <c r="K41" s="7" t="inlineStr">
        <is>
          <t>VÕ THANH PHONG</t>
        </is>
      </c>
      <c r="L41" s="7" t="inlineStr">
        <is>
          <t>phongvo@phs.vn</t>
        </is>
      </c>
      <c r="M41" s="9" t="n">
        <v>46125.72222222222</v>
      </c>
      <c r="N41" s="7" t="n"/>
      <c r="O41" s="7" t="n"/>
      <c r="P41" s="8" t="inlineStr"/>
      <c r="Q41" s="8" t="inlineStr"/>
    </row>
    <row r="42" ht="24" customHeight="1" s="5">
      <c r="A42" s="7" t="inlineStr">
        <is>
          <t>2174942</t>
        </is>
      </c>
      <c r="B42" s="7" t="inlineStr">
        <is>
          <t>9739412</t>
        </is>
      </c>
      <c r="C42" s="8" t="inlineStr">
        <is>
          <t>[CR] [2174942] [MSD] Automation Test Proposal</t>
        </is>
      </c>
      <c r="D42" s="7" t="inlineStr">
        <is>
          <t>Team Mobile</t>
        </is>
      </c>
      <c r="E42" s="7" t="inlineStr">
        <is>
          <t>CR</t>
        </is>
      </c>
      <c r="F42" s="7" t="inlineStr">
        <is>
          <t>MSD</t>
        </is>
      </c>
      <c r="G42" s="7" t="inlineStr">
        <is>
          <t>Low</t>
        </is>
      </c>
      <c r="H42" s="7" t="inlineStr">
        <is>
          <t>Blocked</t>
        </is>
      </c>
      <c r="I42" s="7" t="inlineStr">
        <is>
          <t>Pending</t>
        </is>
      </c>
      <c r="J42" s="7" t="inlineStr">
        <is>
          <t>Backlog</t>
        </is>
      </c>
      <c r="K42" s="7" t="inlineStr">
        <is>
          <t>VÕ THANH PHONG</t>
        </is>
      </c>
      <c r="L42" s="7" t="inlineStr">
        <is>
          <t>phongvo@phs.vn</t>
        </is>
      </c>
      <c r="M42" s="9" t="n">
        <v>46084.69375</v>
      </c>
      <c r="N42" s="7" t="n"/>
      <c r="O42" s="7" t="n"/>
      <c r="P42" s="8" t="inlineStr"/>
      <c r="Q42" s="8" t="inlineStr"/>
    </row>
    <row r="43" ht="24" customHeight="1" s="5">
      <c r="A43" s="7" t="inlineStr">
        <is>
          <t>2340654</t>
        </is>
      </c>
      <c r="B43" s="7" t="inlineStr">
        <is>
          <t>10217565</t>
        </is>
      </c>
      <c r="C43" s="8" t="inlineStr">
        <is>
          <t>[CR] [2340654] [FN] [No.02-2026] Updated payment order form of IVB</t>
        </is>
      </c>
      <c r="D43" s="7" t="inlineStr">
        <is>
          <t>MW Team</t>
        </is>
      </c>
      <c r="E43" s="7" t="inlineStr">
        <is>
          <t>CR</t>
        </is>
      </c>
      <c r="F43" s="7" t="inlineStr">
        <is>
          <t>FN</t>
        </is>
      </c>
      <c r="G43" s="7" t="inlineStr">
        <is>
          <t>Low</t>
        </is>
      </c>
      <c r="H43" s="7" t="inlineStr">
        <is>
          <t>Done</t>
        </is>
      </c>
      <c r="I43" s="7" t="inlineStr">
        <is>
          <t>Go-live</t>
        </is>
      </c>
      <c r="J43" s="7" t="inlineStr">
        <is>
          <t>Q2</t>
        </is>
      </c>
      <c r="K43" s="7" t="inlineStr">
        <is>
          <t>NGUYỄN MINH HỮU</t>
        </is>
      </c>
      <c r="L43" s="7" t="inlineStr">
        <is>
          <t>huunguyen@phs.vn</t>
        </is>
      </c>
      <c r="M43" s="9" t="n">
        <v>46179.6625</v>
      </c>
      <c r="N43" s="7" t="n"/>
      <c r="O43" s="9" t="n">
        <v>46179.66388888889</v>
      </c>
      <c r="P43" s="8" t="inlineStr"/>
      <c r="Q43" s="8" t="inlineStr"/>
    </row>
    <row r="44" ht="24" customHeight="1" s="5">
      <c r="A44" s="7" t="inlineStr">
        <is>
          <t>2310394</t>
        </is>
      </c>
      <c r="B44" s="7" t="inlineStr">
        <is>
          <t>10090312</t>
        </is>
      </c>
      <c r="C44" s="8" t="inlineStr">
        <is>
          <t>[CR] [2310394 - 2391899] [KT] [No.01-2026] Tax analysis and estimation tools for investors.</t>
        </is>
      </c>
      <c r="D44" s="7" t="inlineStr">
        <is>
          <t>MW Team</t>
        </is>
      </c>
      <c r="E44" s="7" t="inlineStr">
        <is>
          <t>CR</t>
        </is>
      </c>
      <c r="F44" s="7" t="inlineStr">
        <is>
          <t>KT</t>
        </is>
      </c>
      <c r="G44" s="7" t="inlineStr">
        <is>
          <t>Low</t>
        </is>
      </c>
      <c r="H44" s="7" t="inlineStr">
        <is>
          <t>Done</t>
        </is>
      </c>
      <c r="I44" s="7" t="inlineStr">
        <is>
          <t>Go-live</t>
        </is>
      </c>
      <c r="J44" s="7" t="inlineStr">
        <is>
          <t>Q2</t>
        </is>
      </c>
      <c r="K44" s="7" t="inlineStr">
        <is>
          <t>NGUYỄN MINH HỮU</t>
        </is>
      </c>
      <c r="L44" s="7" t="inlineStr">
        <is>
          <t>huunguyen@phs.vn</t>
        </is>
      </c>
      <c r="M44" s="9" t="n">
        <v>46154.37708333333</v>
      </c>
      <c r="N44" s="7" t="n"/>
      <c r="O44" s="9" t="n">
        <v>46205.70138888889</v>
      </c>
      <c r="P44" s="8" t="inlineStr">
        <is>
          <t>2310394</t>
        </is>
      </c>
      <c r="Q44" s="8" t="inlineStr"/>
    </row>
    <row r="45" ht="24" customHeight="1" s="5">
      <c r="A45" s="7" t="inlineStr">
        <is>
          <t>2446191</t>
        </is>
      </c>
      <c r="B45" s="7" t="inlineStr">
        <is>
          <t>10090329</t>
        </is>
      </c>
      <c r="C45" s="8" t="inlineStr">
        <is>
          <t>[CR] [2446191] [MSD] [No.08-2026] VCF0051 – Adjust Report Extraction Conditions</t>
        </is>
      </c>
      <c r="D45" s="7" t="inlineStr">
        <is>
          <t>MW Team</t>
        </is>
      </c>
      <c r="E45" s="7" t="inlineStr">
        <is>
          <t>CR</t>
        </is>
      </c>
      <c r="F45" s="7" t="inlineStr">
        <is>
          <t>MSD</t>
        </is>
      </c>
      <c r="G45" s="7" t="inlineStr">
        <is>
          <t>Low</t>
        </is>
      </c>
      <c r="H45" s="7" t="inlineStr">
        <is>
          <t>Done</t>
        </is>
      </c>
      <c r="I45" s="7" t="inlineStr">
        <is>
          <t>Go-live</t>
        </is>
      </c>
      <c r="J45" s="7" t="inlineStr">
        <is>
          <t>Q2</t>
        </is>
      </c>
      <c r="K45" s="7" t="inlineStr">
        <is>
          <t>NGUYỄN MINH HỮU</t>
        </is>
      </c>
      <c r="L45" s="7" t="inlineStr">
        <is>
          <t>huunguyen@phs.vn</t>
        </is>
      </c>
      <c r="M45" s="9" t="n">
        <v>46154.38125</v>
      </c>
      <c r="N45" s="7" t="n"/>
      <c r="O45" s="9" t="n">
        <v>46189.43402777778</v>
      </c>
      <c r="P45" s="8" t="inlineStr"/>
      <c r="Q45" s="8" t="inlineStr"/>
    </row>
    <row r="46" ht="24" customHeight="1" s="5">
      <c r="A46" s="7" t="inlineStr">
        <is>
          <t>2222464</t>
        </is>
      </c>
      <c r="B46" s="7" t="inlineStr">
        <is>
          <t>10090302</t>
        </is>
      </c>
      <c r="C46" s="8" t="inlineStr">
        <is>
          <t>[CR] [2222464] [RMD] [No.09-2025] Add sign-in method</t>
        </is>
      </c>
      <c r="D46" s="7" t="inlineStr">
        <is>
          <t>MW Team</t>
        </is>
      </c>
      <c r="E46" s="7" t="inlineStr">
        <is>
          <t>CR</t>
        </is>
      </c>
      <c r="F46" s="7" t="inlineStr">
        <is>
          <t>RMD</t>
        </is>
      </c>
      <c r="G46" s="7" t="inlineStr">
        <is>
          <t>Low</t>
        </is>
      </c>
      <c r="H46" s="7" t="inlineStr">
        <is>
          <t>Done</t>
        </is>
      </c>
      <c r="I46" s="7" t="inlineStr">
        <is>
          <t>Go-live</t>
        </is>
      </c>
      <c r="J46" s="7" t="inlineStr">
        <is>
          <t>Q2</t>
        </is>
      </c>
      <c r="K46" s="7" t="inlineStr">
        <is>
          <t>NGUYỄN MINH HỮU</t>
        </is>
      </c>
      <c r="L46" s="7" t="inlineStr">
        <is>
          <t>huunguyen@phs.vn</t>
        </is>
      </c>
      <c r="M46" s="9" t="n">
        <v>46154.375</v>
      </c>
      <c r="N46" s="7" t="n"/>
      <c r="O46" s="9" t="n">
        <v>46155.43541666667</v>
      </c>
      <c r="P46" s="8" t="inlineStr">
        <is>
          <t>2222464</t>
        </is>
      </c>
      <c r="Q46" s="8" t="inlineStr"/>
    </row>
    <row r="47" ht="24" customHeight="1" s="5">
      <c r="A47" s="7" t="inlineStr">
        <is>
          <t>2443571</t>
        </is>
      </c>
      <c r="B47" s="7" t="inlineStr">
        <is>
          <t>10090343</t>
        </is>
      </c>
      <c r="C47" s="8" t="inlineStr">
        <is>
          <t>[CR] [2443571] [SS] [No.09-2026] Restrict using PHS email address for securities transactions</t>
        </is>
      </c>
      <c r="D47" s="7" t="inlineStr">
        <is>
          <t>MW Team</t>
        </is>
      </c>
      <c r="E47" s="7" t="inlineStr">
        <is>
          <t>CR</t>
        </is>
      </c>
      <c r="F47" s="7" t="inlineStr">
        <is>
          <t>SS</t>
        </is>
      </c>
      <c r="G47" s="7" t="inlineStr">
        <is>
          <t>Low</t>
        </is>
      </c>
      <c r="H47" s="7" t="inlineStr">
        <is>
          <t>Done</t>
        </is>
      </c>
      <c r="I47" s="7" t="inlineStr">
        <is>
          <t>Go-live</t>
        </is>
      </c>
      <c r="J47" s="7" t="inlineStr">
        <is>
          <t>Q2</t>
        </is>
      </c>
      <c r="K47" s="7" t="inlineStr">
        <is>
          <t>NGUYỄN MINH HỮU</t>
        </is>
      </c>
      <c r="L47" s="7" t="inlineStr">
        <is>
          <t>huunguyen@phs.vn</t>
        </is>
      </c>
      <c r="M47" s="9" t="n">
        <v>46154.38472222222</v>
      </c>
      <c r="N47" s="7" t="n"/>
      <c r="O47" s="9" t="n">
        <v>46178.4625</v>
      </c>
      <c r="P47" s="8" t="inlineStr"/>
      <c r="Q47" s="8" t="inlineStr"/>
    </row>
    <row r="48" ht="24" customHeight="1" s="5">
      <c r="A48" s="7" t="inlineStr">
        <is>
          <t>2133352</t>
        </is>
      </c>
      <c r="B48" s="7" t="inlineStr">
        <is>
          <t>10090240</t>
        </is>
      </c>
      <c r="C48" s="8" t="inlineStr">
        <is>
          <t>[CR] [2133352] [RMD] [No.12-2025] Margin product calculation tool</t>
        </is>
      </c>
      <c r="D48" s="7" t="inlineStr">
        <is>
          <t>MW Team</t>
        </is>
      </c>
      <c r="E48" s="7" t="inlineStr">
        <is>
          <t>CR</t>
        </is>
      </c>
      <c r="F48" s="7" t="inlineStr">
        <is>
          <t>RMD</t>
        </is>
      </c>
      <c r="G48" s="7" t="inlineStr">
        <is>
          <t>Medium</t>
        </is>
      </c>
      <c r="H48" s="7" t="inlineStr">
        <is>
          <t>Done</t>
        </is>
      </c>
      <c r="I48" s="7" t="inlineStr">
        <is>
          <t>Go-live</t>
        </is>
      </c>
      <c r="J48" s="7" t="inlineStr">
        <is>
          <t>Q2</t>
        </is>
      </c>
      <c r="K48" s="7" t="inlineStr">
        <is>
          <t>NGUYỄN MINH HỮU</t>
        </is>
      </c>
      <c r="L48" s="7" t="inlineStr">
        <is>
          <t>huunguyen@phs.vn</t>
        </is>
      </c>
      <c r="M48" s="9" t="n">
        <v>46154.36319444444</v>
      </c>
      <c r="N48" s="7" t="n"/>
      <c r="O48" s="9" t="n">
        <v>46157.43888888889</v>
      </c>
      <c r="P48" s="8" t="inlineStr">
        <is>
          <t>2133352</t>
        </is>
      </c>
      <c r="Q48" s="8" t="inlineStr"/>
    </row>
    <row r="49" ht="24" customHeight="1" s="5">
      <c r="A49" s="7" t="inlineStr">
        <is>
          <t>2246969</t>
        </is>
      </c>
      <c r="B49" s="7" t="inlineStr">
        <is>
          <t>10090247</t>
        </is>
      </c>
      <c r="C49" s="8" t="inlineStr">
        <is>
          <t>[CR] [2246969] [DTD] [No.39-2025] Add PCA trading stock labels and implement stock filtering features on the PHS Elite app</t>
        </is>
      </c>
      <c r="D49" s="7" t="inlineStr">
        <is>
          <t>MW Team</t>
        </is>
      </c>
      <c r="E49" s="7" t="inlineStr">
        <is>
          <t>CR</t>
        </is>
      </c>
      <c r="F49" s="7" t="inlineStr">
        <is>
          <t>DTD</t>
        </is>
      </c>
      <c r="G49" s="7" t="inlineStr">
        <is>
          <t>Low</t>
        </is>
      </c>
      <c r="H49" s="7" t="inlineStr">
        <is>
          <t>Done</t>
        </is>
      </c>
      <c r="I49" s="7" t="inlineStr">
        <is>
          <t>Go-live</t>
        </is>
      </c>
      <c r="J49" s="7" t="inlineStr">
        <is>
          <t>Q2</t>
        </is>
      </c>
      <c r="K49" s="7" t="inlineStr">
        <is>
          <t>NGUYỄN MINH HỮU</t>
        </is>
      </c>
      <c r="L49" s="7" t="inlineStr">
        <is>
          <t>huunguyen@phs.vn</t>
        </is>
      </c>
      <c r="M49" s="9" t="n">
        <v>46154.36458333334</v>
      </c>
      <c r="N49" s="7" t="n"/>
      <c r="O49" s="9" t="n">
        <v>46157.43888888889</v>
      </c>
      <c r="P49" s="8" t="inlineStr"/>
      <c r="Q49" s="8" t="inlineStr"/>
    </row>
    <row r="50" ht="24" customHeight="1" s="5">
      <c r="A50" s="7" t="inlineStr">
        <is>
          <t>2275303</t>
        </is>
      </c>
      <c r="B50" s="7" t="inlineStr">
        <is>
          <t>10090293</t>
        </is>
      </c>
      <c r="C50" s="8" t="inlineStr">
        <is>
          <t>[CR] [2275303] [DTD] [No.1-2026] Enhance securities depository features via the PHS Elite Trading application</t>
        </is>
      </c>
      <c r="D50" s="7" t="inlineStr">
        <is>
          <t>MW Team</t>
        </is>
      </c>
      <c r="E50" s="7" t="inlineStr">
        <is>
          <t>CR</t>
        </is>
      </c>
      <c r="F50" s="7" t="inlineStr">
        <is>
          <t>DTD</t>
        </is>
      </c>
      <c r="G50" s="7" t="inlineStr">
        <is>
          <t>Medium</t>
        </is>
      </c>
      <c r="H50" s="7" t="inlineStr">
        <is>
          <t>Doing</t>
        </is>
      </c>
      <c r="I50" s="7" t="inlineStr">
        <is>
          <t>FTL Coding</t>
        </is>
      </c>
      <c r="J50" s="7" t="inlineStr">
        <is>
          <t>Q2</t>
        </is>
      </c>
      <c r="K50" s="7" t="inlineStr">
        <is>
          <t>NGUYỄN MINH HỮU</t>
        </is>
      </c>
      <c r="L50" s="7" t="inlineStr">
        <is>
          <t>huunguyen@phs.vn</t>
        </is>
      </c>
      <c r="M50" s="9" t="n">
        <v>46154.37291666667</v>
      </c>
      <c r="N50" s="7" t="n"/>
      <c r="O50" s="9" t="n">
        <v>46205.70069444444</v>
      </c>
      <c r="P50" s="8" t="inlineStr">
        <is>
          <t>2275303</t>
        </is>
      </c>
      <c r="Q50" s="8" t="inlineStr"/>
    </row>
    <row r="51" ht="24" customHeight="1" s="5">
      <c r="A51" s="7" t="inlineStr">
        <is>
          <t>2216483</t>
        </is>
      </c>
      <c r="B51" s="7" t="inlineStr">
        <is>
          <t>10090287</t>
        </is>
      </c>
      <c r="C51" s="8" t="inlineStr">
        <is>
          <t>[CR] [2216483] [MSD] [No.33-2025] Loyalty Customer System (Core Flex)</t>
        </is>
      </c>
      <c r="D51" s="7" t="inlineStr">
        <is>
          <t>MW Team</t>
        </is>
      </c>
      <c r="E51" s="7" t="inlineStr">
        <is>
          <t>CR</t>
        </is>
      </c>
      <c r="F51" s="7" t="inlineStr">
        <is>
          <t>MSD</t>
        </is>
      </c>
      <c r="G51" s="7" t="inlineStr">
        <is>
          <t>Low</t>
        </is>
      </c>
      <c r="H51" s="7" t="inlineStr">
        <is>
          <t>Blocked</t>
        </is>
      </c>
      <c r="I51" s="7" t="inlineStr">
        <is>
          <t>Waiting FTL</t>
        </is>
      </c>
      <c r="J51" s="7" t="inlineStr">
        <is>
          <t>Q2</t>
        </is>
      </c>
      <c r="K51" s="7" t="inlineStr">
        <is>
          <t>NGUYỄN MINH HỮU</t>
        </is>
      </c>
      <c r="L51" s="7" t="inlineStr">
        <is>
          <t>huunguyen@phs.vn</t>
        </is>
      </c>
      <c r="M51" s="9" t="n">
        <v>46154.37152777778</v>
      </c>
      <c r="N51" s="7" t="n"/>
      <c r="O51" s="9" t="n">
        <v>46206.36527777778</v>
      </c>
      <c r="P51" s="8" t="inlineStr">
        <is>
          <t>2216483</t>
        </is>
      </c>
      <c r="Q51" s="8" t="inlineStr"/>
    </row>
    <row r="52" ht="24" customHeight="1" s="5">
      <c r="A52" s="7" t="inlineStr">
        <is>
          <t>2238356</t>
        </is>
      </c>
      <c r="B52" s="7" t="inlineStr">
        <is>
          <t>10090263</t>
        </is>
      </c>
      <c r="C52" s="8" t="inlineStr">
        <is>
          <t>[CR] [2238356] [MSD] [No.27-2025]ADVANCE MARGIN FOR DERIVATIVES</t>
        </is>
      </c>
      <c r="D52" s="7" t="inlineStr">
        <is>
          <t>MW Team</t>
        </is>
      </c>
      <c r="E52" s="7" t="inlineStr">
        <is>
          <t>CR</t>
        </is>
      </c>
      <c r="F52" s="7" t="inlineStr">
        <is>
          <t>MSD</t>
        </is>
      </c>
      <c r="G52" s="7" t="inlineStr">
        <is>
          <t>High</t>
        </is>
      </c>
      <c r="H52" s="7" t="inlineStr">
        <is>
          <t>UAT</t>
        </is>
      </c>
      <c r="I52" s="7" t="inlineStr">
        <is>
          <t>UAT Testing</t>
        </is>
      </c>
      <c r="J52" s="7" t="inlineStr">
        <is>
          <t>Q2</t>
        </is>
      </c>
      <c r="K52" s="7" t="inlineStr">
        <is>
          <t>NGUYỄN MINH HỮU</t>
        </is>
      </c>
      <c r="L52" s="7" t="inlineStr">
        <is>
          <t>huunguyen@phs.vn</t>
        </is>
      </c>
      <c r="M52" s="9" t="n">
        <v>46154.36944444444</v>
      </c>
      <c r="N52" s="7" t="n"/>
      <c r="O52" s="7" t="n"/>
      <c r="P52" s="8" t="inlineStr">
        <is>
          <t>2238356</t>
        </is>
      </c>
      <c r="Q52" s="8" t="inlineStr"/>
    </row>
    <row r="53" ht="24" customHeight="1" s="5">
      <c r="A53" s="7" t="inlineStr">
        <is>
          <t>2084592</t>
        </is>
      </c>
      <c r="B53" s="7" t="inlineStr">
        <is>
          <t>10090209</t>
        </is>
      </c>
      <c r="C53" s="8" t="inlineStr">
        <is>
          <t>[CR] [2084592] [RMD] [No.10-2025] Calculate interest for accounts using special interest rate products</t>
        </is>
      </c>
      <c r="D53" s="7" t="inlineStr">
        <is>
          <t>MW Team</t>
        </is>
      </c>
      <c r="E53" s="7" t="inlineStr">
        <is>
          <t>CR</t>
        </is>
      </c>
      <c r="F53" s="7" t="inlineStr">
        <is>
          <t>RMD</t>
        </is>
      </c>
      <c r="G53" s="7" t="inlineStr">
        <is>
          <t>High</t>
        </is>
      </c>
      <c r="H53" s="7" t="inlineStr">
        <is>
          <t>Blocked</t>
        </is>
      </c>
      <c r="I53" s="7" t="inlineStr">
        <is>
          <t>Waiting FTL</t>
        </is>
      </c>
      <c r="J53" s="7" t="inlineStr">
        <is>
          <t>Q2</t>
        </is>
      </c>
      <c r="K53" s="7" t="inlineStr">
        <is>
          <t>NGUYỄN MINH HỮU</t>
        </is>
      </c>
      <c r="L53" s="7" t="inlineStr">
        <is>
          <t>huunguyen@phs.vn</t>
        </is>
      </c>
      <c r="M53" s="9" t="n">
        <v>46154.35625</v>
      </c>
      <c r="N53" s="7" t="n"/>
      <c r="O53" s="7" t="n"/>
      <c r="P53" s="8" t="inlineStr">
        <is>
          <t>2084592</t>
        </is>
      </c>
      <c r="Q53" s="8" t="inlineStr"/>
    </row>
    <row r="54" ht="24" customHeight="1" s="5">
      <c r="A54" s="7" t="inlineStr">
        <is>
          <t>2149046</t>
        </is>
      </c>
      <c r="B54" s="7" t="inlineStr">
        <is>
          <t>10090204</t>
        </is>
      </c>
      <c r="C54" s="8" t="inlineStr">
        <is>
          <t>[CR] [2149046] [SS] [No.28-2025] Adjustment of the account opening flow on the PHS ELITE TRADING application</t>
        </is>
      </c>
      <c r="D54" s="7" t="inlineStr">
        <is>
          <t>MW Team</t>
        </is>
      </c>
      <c r="E54" s="7" t="inlineStr">
        <is>
          <t>CR</t>
        </is>
      </c>
      <c r="F54" s="7" t="inlineStr">
        <is>
          <t>SS</t>
        </is>
      </c>
      <c r="G54" s="7" t="inlineStr">
        <is>
          <t>High</t>
        </is>
      </c>
      <c r="H54" s="7" t="inlineStr">
        <is>
          <t>UAT</t>
        </is>
      </c>
      <c r="I54" s="7" t="inlineStr">
        <is>
          <t>UAT Testing</t>
        </is>
      </c>
      <c r="J54" s="7" t="inlineStr">
        <is>
          <t>Q2</t>
        </is>
      </c>
      <c r="K54" s="7" t="inlineStr">
        <is>
          <t>NGUYỄN MINH HỮU</t>
        </is>
      </c>
      <c r="L54" s="7" t="inlineStr">
        <is>
          <t>huunguyen@phs.vn</t>
        </is>
      </c>
      <c r="M54" s="9" t="n">
        <v>46154.35486111111</v>
      </c>
      <c r="N54" s="7" t="n"/>
      <c r="O54" s="7" t="n"/>
      <c r="P54" s="8" t="inlineStr">
        <is>
          <t>2149046</t>
        </is>
      </c>
      <c r="Q54" s="8" t="inlineStr"/>
    </row>
    <row r="55" ht="24" customHeight="1" s="5">
      <c r="A55" s="7" t="inlineStr">
        <is>
          <t>2106995</t>
        </is>
      </c>
      <c r="B55" s="7" t="inlineStr">
        <is>
          <t>10090258</t>
        </is>
      </c>
      <c r="C55" s="8" t="inlineStr">
        <is>
          <t>[CR] [2106995] [DTD] [No.25-2025] Add put-through order trading feature on PHS ELITE XPRO</t>
        </is>
      </c>
      <c r="D55" s="7" t="inlineStr">
        <is>
          <t>MW Team</t>
        </is>
      </c>
      <c r="E55" s="7" t="inlineStr">
        <is>
          <t>CR</t>
        </is>
      </c>
      <c r="F55" s="7" t="inlineStr">
        <is>
          <t>DTD</t>
        </is>
      </c>
      <c r="G55" s="7" t="inlineStr">
        <is>
          <t>Low</t>
        </is>
      </c>
      <c r="H55" s="7" t="inlineStr">
        <is>
          <t>UAT</t>
        </is>
      </c>
      <c r="I55" s="7" t="inlineStr">
        <is>
          <t>UAT Testing</t>
        </is>
      </c>
      <c r="J55" s="7" t="inlineStr">
        <is>
          <t>Q2</t>
        </is>
      </c>
      <c r="K55" s="7" t="inlineStr">
        <is>
          <t>NGUYỄN MINH HỮU</t>
        </is>
      </c>
      <c r="L55" s="7" t="inlineStr">
        <is>
          <t>huunguyen@phs.vn</t>
        </is>
      </c>
      <c r="M55" s="9" t="n">
        <v>46154.36805555555</v>
      </c>
      <c r="N55" s="7" t="n"/>
      <c r="O55" s="7" t="n"/>
      <c r="P55" s="8" t="inlineStr"/>
      <c r="Q55" s="8" t="inlineStr"/>
    </row>
    <row r="56" ht="24" customHeight="1" s="5">
      <c r="A56" s="7" t="inlineStr">
        <is>
          <t>2283752</t>
        </is>
      </c>
      <c r="B56" s="7" t="inlineStr">
        <is>
          <t>10090289</t>
        </is>
      </c>
      <c r="C56" s="8" t="inlineStr">
        <is>
          <t>[CR] [2283752] [DTD] [No.03-2026] Send Notification via Elite App and mail all right issue</t>
        </is>
      </c>
      <c r="D56" s="7" t="inlineStr">
        <is>
          <t>MW Team</t>
        </is>
      </c>
      <c r="E56" s="7" t="inlineStr">
        <is>
          <t>CR</t>
        </is>
      </c>
      <c r="F56" s="7" t="inlineStr">
        <is>
          <t>DTD</t>
        </is>
      </c>
      <c r="G56" s="7" t="inlineStr">
        <is>
          <t>Low</t>
        </is>
      </c>
      <c r="H56" s="7" t="inlineStr">
        <is>
          <t>UAT</t>
        </is>
      </c>
      <c r="I56" s="7" t="inlineStr">
        <is>
          <t>UAT Testing</t>
        </is>
      </c>
      <c r="J56" s="7" t="inlineStr">
        <is>
          <t>Q2</t>
        </is>
      </c>
      <c r="K56" s="7" t="inlineStr">
        <is>
          <t>NGUYỄN MINH HỮU</t>
        </is>
      </c>
      <c r="L56" s="7" t="inlineStr">
        <is>
          <t>huunguyen@phs.vn</t>
        </is>
      </c>
      <c r="M56" s="9" t="n">
        <v>46154.37222222222</v>
      </c>
      <c r="N56" s="7" t="n"/>
      <c r="O56" s="7" t="n"/>
      <c r="P56" s="8" t="inlineStr">
        <is>
          <t>2283752</t>
        </is>
      </c>
      <c r="Q56" s="8" t="inlineStr"/>
    </row>
    <row r="57" ht="24" customHeight="1" s="5">
      <c r="A57" s="7" t="inlineStr">
        <is>
          <t>2437753</t>
        </is>
      </c>
      <c r="B57" s="7" t="inlineStr">
        <is>
          <t>10090323</t>
        </is>
      </c>
      <c r="C57" s="8" t="inlineStr">
        <is>
          <t>[CR] [2437753] [SS] [No.07-2026] AF &amp; LN Duplication &amp; Bulk Import Function</t>
        </is>
      </c>
      <c r="D57" s="7" t="inlineStr">
        <is>
          <t>MW Team</t>
        </is>
      </c>
      <c r="E57" s="7" t="inlineStr">
        <is>
          <t>CR</t>
        </is>
      </c>
      <c r="F57" s="7" t="inlineStr">
        <is>
          <t>SS</t>
        </is>
      </c>
      <c r="G57" s="7" t="inlineStr">
        <is>
          <t>Low</t>
        </is>
      </c>
      <c r="H57" s="7" t="inlineStr">
        <is>
          <t>Doing</t>
        </is>
      </c>
      <c r="I57" s="7" t="inlineStr">
        <is>
          <t>FSS Eval CR</t>
        </is>
      </c>
      <c r="J57" s="7" t="inlineStr">
        <is>
          <t>Q3</t>
        </is>
      </c>
      <c r="K57" s="7" t="inlineStr">
        <is>
          <t>NGUYỄN MINH HỮU</t>
        </is>
      </c>
      <c r="L57" s="7" t="inlineStr">
        <is>
          <t>huunguyen@phs.vn</t>
        </is>
      </c>
      <c r="M57" s="9" t="n">
        <v>46154.38055555556</v>
      </c>
      <c r="N57" s="7" t="n"/>
      <c r="O57" s="7" t="n"/>
      <c r="P57" s="8" t="inlineStr"/>
      <c r="Q57" s="8" t="inlineStr"/>
    </row>
    <row r="58" ht="24" customHeight="1" s="5">
      <c r="A58" s="7" t="inlineStr">
        <is>
          <t>2289280</t>
        </is>
      </c>
      <c r="B58" s="7" t="inlineStr">
        <is>
          <t>10090283</t>
        </is>
      </c>
      <c r="C58" s="8" t="inlineStr">
        <is>
          <t>[CR] [2289280] [FN] [No.01-2026] Future-Dated Withdrawal Scheduling for Customers</t>
        </is>
      </c>
      <c r="D58" s="7" t="inlineStr">
        <is>
          <t>MW Team</t>
        </is>
      </c>
      <c r="E58" s="7" t="inlineStr">
        <is>
          <t>CR</t>
        </is>
      </c>
      <c r="F58" s="7" t="inlineStr">
        <is>
          <t>FN</t>
        </is>
      </c>
      <c r="G58" s="7" t="inlineStr">
        <is>
          <t>Low</t>
        </is>
      </c>
      <c r="H58" s="7" t="inlineStr">
        <is>
          <t>Todo</t>
        </is>
      </c>
      <c r="I58" s="7" t="inlineStr">
        <is>
          <t>Discuss Req</t>
        </is>
      </c>
      <c r="J58" s="7" t="inlineStr">
        <is>
          <t>Backlog</t>
        </is>
      </c>
      <c r="K58" s="7" t="inlineStr">
        <is>
          <t>NGUYỄN MINH HỮU</t>
        </is>
      </c>
      <c r="L58" s="7" t="inlineStr">
        <is>
          <t>huunguyen@phs.vn</t>
        </is>
      </c>
      <c r="M58" s="9" t="n">
        <v>46154.37013888889</v>
      </c>
      <c r="N58" s="7" t="n"/>
      <c r="O58" s="7" t="n"/>
      <c r="P58" s="8" t="inlineStr">
        <is>
          <t>2289280</t>
        </is>
      </c>
      <c r="Q58" s="8" t="inlineStr"/>
    </row>
    <row r="59" ht="24" customHeight="1" s="5">
      <c r="A59" s="7" t="inlineStr">
        <is>
          <t>2275303</t>
        </is>
      </c>
      <c r="B59" s="7" t="inlineStr">
        <is>
          <t>9739429</t>
        </is>
      </c>
      <c r="C59" s="8" t="inlineStr">
        <is>
          <t>[CR] [2275303] [SS] Enhance securities depository features via the PHS Elite Trading application</t>
        </is>
      </c>
      <c r="D59" s="7" t="inlineStr">
        <is>
          <t>Team Mobile</t>
        </is>
      </c>
      <c r="E59" s="7" t="inlineStr">
        <is>
          <t>CR</t>
        </is>
      </c>
      <c r="F59" s="7" t="inlineStr">
        <is>
          <t>SS</t>
        </is>
      </c>
      <c r="G59" s="7" t="inlineStr">
        <is>
          <t>Medium</t>
        </is>
      </c>
      <c r="H59" s="7" t="inlineStr">
        <is>
          <t>Done</t>
        </is>
      </c>
      <c r="I59" s="7" t="inlineStr">
        <is>
          <t>Go-live</t>
        </is>
      </c>
      <c r="J59" s="7" t="inlineStr">
        <is>
          <t>Q2</t>
        </is>
      </c>
      <c r="K59" s="7" t="inlineStr"/>
      <c r="L59" s="7" t="inlineStr">
        <is>
          <t>phongvo@phs.vn</t>
        </is>
      </c>
      <c r="M59" s="9" t="n">
        <v>46084.69444444445</v>
      </c>
      <c r="N59" s="9" t="n">
        <v>46168.99930555555</v>
      </c>
      <c r="O59" s="9" t="n">
        <v>46202.59027777778</v>
      </c>
      <c r="P59" s="8" t="inlineStr">
        <is>
          <t>2275303</t>
        </is>
      </c>
      <c r="Q59" s="8" t="inlineStr"/>
    </row>
    <row r="60" ht="24" customHeight="1" s="5">
      <c r="A60" s="7" t="inlineStr">
        <is>
          <t>2310394</t>
        </is>
      </c>
      <c r="B60" s="7" t="inlineStr">
        <is>
          <t>9953652</t>
        </is>
      </c>
      <c r="C60" s="8" t="inlineStr">
        <is>
          <t>[CR] [2310394] Tax analysis and estimation tools for investors (Phase 1)</t>
        </is>
      </c>
      <c r="D60" s="7" t="inlineStr">
        <is>
          <t>Team Mobile</t>
        </is>
      </c>
      <c r="E60" s="7" t="inlineStr">
        <is>
          <t>CR</t>
        </is>
      </c>
      <c r="F60" s="7" t="inlineStr"/>
      <c r="G60" s="7" t="inlineStr">
        <is>
          <t>Low</t>
        </is>
      </c>
      <c r="H60" s="7" t="inlineStr">
        <is>
          <t>Done</t>
        </is>
      </c>
      <c r="I60" s="7" t="inlineStr">
        <is>
          <t>Go-live</t>
        </is>
      </c>
      <c r="J60" s="7" t="inlineStr">
        <is>
          <t>Q2</t>
        </is>
      </c>
      <c r="K60" s="7" t="inlineStr">
        <is>
          <t>VÕ THANH PHONG</t>
        </is>
      </c>
      <c r="L60" s="7" t="inlineStr">
        <is>
          <t>phongvo@phs.vn</t>
        </is>
      </c>
      <c r="M60" s="9" t="n">
        <v>46125.71180555555</v>
      </c>
      <c r="N60" s="7" t="n"/>
      <c r="O60" s="9" t="n">
        <v>46202.58958333333</v>
      </c>
      <c r="P60" s="8" t="inlineStr">
        <is>
          <t>2310394</t>
        </is>
      </c>
      <c r="Q60" s="8" t="inlineStr"/>
    </row>
    <row r="61" ht="24" customHeight="1" s="5">
      <c r="A61" s="7" t="inlineStr">
        <is>
          <t>2400155</t>
        </is>
      </c>
      <c r="B61" s="7" t="inlineStr">
        <is>
          <t>9953677</t>
        </is>
      </c>
      <c r="C61" s="8" t="inlineStr">
        <is>
          <t>[CR] [2400155] Marketing - Develop Mission Tracking Page for Promotion Q1.2026</t>
        </is>
      </c>
      <c r="D61" s="7" t="inlineStr">
        <is>
          <t>Team Mobile</t>
        </is>
      </c>
      <c r="E61" s="7" t="inlineStr">
        <is>
          <t>CR</t>
        </is>
      </c>
      <c r="F61" s="7" t="inlineStr"/>
      <c r="G61" s="7" t="inlineStr">
        <is>
          <t>Medium</t>
        </is>
      </c>
      <c r="H61" s="7" t="inlineStr">
        <is>
          <t>Done</t>
        </is>
      </c>
      <c r="I61" s="7" t="inlineStr">
        <is>
          <t>Go-live</t>
        </is>
      </c>
      <c r="J61" s="7" t="inlineStr">
        <is>
          <t>Q2</t>
        </is>
      </c>
      <c r="K61" s="7" t="inlineStr">
        <is>
          <t>VÕ THANH PHONG</t>
        </is>
      </c>
      <c r="L61" s="7" t="inlineStr">
        <is>
          <t>phongvo@phs.vn</t>
        </is>
      </c>
      <c r="M61" s="9" t="n">
        <v>46125.71805555555</v>
      </c>
      <c r="N61" s="7" t="n"/>
      <c r="O61" s="9" t="n">
        <v>46202.58958333333</v>
      </c>
      <c r="P61" s="8" t="inlineStr">
        <is>
          <t>2400155</t>
        </is>
      </c>
      <c r="Q61" s="8" t="inlineStr"/>
    </row>
    <row r="62" ht="24" customHeight="1" s="5">
      <c r="A62" s="7" t="inlineStr">
        <is>
          <t>2329940</t>
        </is>
      </c>
      <c r="B62" s="7" t="inlineStr">
        <is>
          <t>9739428</t>
        </is>
      </c>
      <c r="C62" s="8" t="inlineStr">
        <is>
          <t>[CR] [2329940] [RS] AI Chatbot Integration for Elite Mobile App &amp; Xpro Web Trading</t>
        </is>
      </c>
      <c r="D62" s="7" t="inlineStr">
        <is>
          <t>Team Mobile</t>
        </is>
      </c>
      <c r="E62" s="7" t="inlineStr">
        <is>
          <t>CR</t>
        </is>
      </c>
      <c r="F62" s="7" t="inlineStr">
        <is>
          <t>RS</t>
        </is>
      </c>
      <c r="G62" s="7" t="inlineStr">
        <is>
          <t>Medium</t>
        </is>
      </c>
      <c r="H62" s="7" t="inlineStr">
        <is>
          <t>Done</t>
        </is>
      </c>
      <c r="I62" s="7" t="inlineStr">
        <is>
          <t>Go-live</t>
        </is>
      </c>
      <c r="J62" s="7" t="inlineStr">
        <is>
          <t>Q2</t>
        </is>
      </c>
      <c r="K62" s="7" t="inlineStr"/>
      <c r="L62" s="7" t="inlineStr">
        <is>
          <t>phongvo@phs.vn</t>
        </is>
      </c>
      <c r="M62" s="9" t="n">
        <v>46084.69444444445</v>
      </c>
      <c r="N62" s="9" t="n">
        <v>46164.99930555555</v>
      </c>
      <c r="O62" s="9" t="n">
        <v>46178.40555555555</v>
      </c>
      <c r="P62" s="8" t="inlineStr"/>
      <c r="Q62" s="8" t="inlineStr"/>
    </row>
    <row r="63" ht="24" customHeight="1" s="5">
      <c r="A63" s="7" t="inlineStr">
        <is>
          <t>2306127</t>
        </is>
      </c>
      <c r="B63" s="7" t="inlineStr">
        <is>
          <t>9931785</t>
        </is>
      </c>
      <c r="C63" s="8" t="inlineStr">
        <is>
          <t>[CR] [2306127] INB_ Proposal to implement the mobile app notifications for Elite Seeds</t>
        </is>
      </c>
      <c r="D63" s="7" t="inlineStr">
        <is>
          <t>Team Mobile</t>
        </is>
      </c>
      <c r="E63" s="7" t="inlineStr">
        <is>
          <t>CR</t>
        </is>
      </c>
      <c r="F63" s="7" t="inlineStr"/>
      <c r="G63" s="7" t="inlineStr">
        <is>
          <t>Low</t>
        </is>
      </c>
      <c r="H63" s="7" t="inlineStr">
        <is>
          <t>Done</t>
        </is>
      </c>
      <c r="I63" s="7" t="inlineStr">
        <is>
          <t>Go-live</t>
        </is>
      </c>
      <c r="J63" s="7" t="inlineStr">
        <is>
          <t>Q2</t>
        </is>
      </c>
      <c r="K63" s="7" t="inlineStr">
        <is>
          <t>VÕ THANH PHONG</t>
        </is>
      </c>
      <c r="L63" s="7" t="inlineStr">
        <is>
          <t>phongvo@phs.vn</t>
        </is>
      </c>
      <c r="M63" s="9" t="n">
        <v>46121.70833333334</v>
      </c>
      <c r="N63" s="7" t="n"/>
      <c r="O63" s="9" t="n">
        <v>46169.56180555555</v>
      </c>
      <c r="P63" s="8" t="inlineStr"/>
      <c r="Q63" s="8" t="inlineStr"/>
    </row>
    <row r="64" ht="24" customHeight="1" s="5">
      <c r="A64" s="7" t="inlineStr">
        <is>
          <t>2372910</t>
        </is>
      </c>
      <c r="B64" s="7" t="inlineStr">
        <is>
          <t>10007137</t>
        </is>
      </c>
      <c r="C64" s="8" t="inlineStr">
        <is>
          <t>[CR][2372910] [RESEARCH] Permission to get API data from OpenAcc web</t>
        </is>
      </c>
      <c r="D64" s="7" t="inlineStr">
        <is>
          <t>Team Mobile</t>
        </is>
      </c>
      <c r="E64" s="7" t="inlineStr">
        <is>
          <t>CR</t>
        </is>
      </c>
      <c r="F64" s="7" t="inlineStr"/>
      <c r="G64" s="7" t="inlineStr">
        <is>
          <t>Low</t>
        </is>
      </c>
      <c r="H64" s="7" t="inlineStr">
        <is>
          <t>Done</t>
        </is>
      </c>
      <c r="I64" s="7" t="inlineStr">
        <is>
          <t>Go-live</t>
        </is>
      </c>
      <c r="J64" s="7" t="inlineStr">
        <is>
          <t>Q2</t>
        </is>
      </c>
      <c r="K64" s="7" t="inlineStr">
        <is>
          <t>VÕ THANH PHONG</t>
        </is>
      </c>
      <c r="L64" s="7" t="inlineStr">
        <is>
          <t>phongvo@phs.vn</t>
        </is>
      </c>
      <c r="M64" s="9" t="n">
        <v>46136.39375</v>
      </c>
      <c r="N64" s="7" t="n"/>
      <c r="O64" s="9" t="n">
        <v>46146.35138888889</v>
      </c>
      <c r="P64" s="8" t="inlineStr"/>
      <c r="Q64" s="8" t="inlineStr"/>
    </row>
    <row r="65" ht="24" customHeight="1" s="5">
      <c r="A65" s="7" t="inlineStr">
        <is>
          <t>2216483</t>
        </is>
      </c>
      <c r="B65" s="7" t="inlineStr">
        <is>
          <t>9739424</t>
        </is>
      </c>
      <c r="C65" s="8" t="inlineStr">
        <is>
          <t>[CR] [2216483] [MSD] LOYALTY SYSTEM ON MOBILE APP</t>
        </is>
      </c>
      <c r="D65" s="7" t="inlineStr">
        <is>
          <t>Team Mobile</t>
        </is>
      </c>
      <c r="E65" s="7" t="inlineStr">
        <is>
          <t>CR</t>
        </is>
      </c>
      <c r="F65" s="7" t="inlineStr">
        <is>
          <t>MSD</t>
        </is>
      </c>
      <c r="G65" s="7" t="inlineStr">
        <is>
          <t>Low</t>
        </is>
      </c>
      <c r="H65" s="7" t="inlineStr">
        <is>
          <t>Done</t>
        </is>
      </c>
      <c r="I65" s="7" t="inlineStr">
        <is>
          <t>Go-live</t>
        </is>
      </c>
      <c r="J65" s="7" t="inlineStr">
        <is>
          <t>Q2</t>
        </is>
      </c>
      <c r="K65" s="7" t="inlineStr"/>
      <c r="L65" s="7" t="inlineStr">
        <is>
          <t>phongvo@phs.vn</t>
        </is>
      </c>
      <c r="M65" s="9" t="n">
        <v>46084.69375</v>
      </c>
      <c r="N65" s="7" t="n"/>
      <c r="O65" s="9" t="n">
        <v>46146.34375</v>
      </c>
      <c r="P65" s="8" t="inlineStr">
        <is>
          <t>2216483</t>
        </is>
      </c>
      <c r="Q65" s="8" t="inlineStr"/>
    </row>
    <row r="66" ht="24" customHeight="1" s="5">
      <c r="A66" s="7" t="inlineStr">
        <is>
          <t>2400512</t>
        </is>
      </c>
      <c r="B66" s="7" t="inlineStr">
        <is>
          <t>9931751</t>
        </is>
      </c>
      <c r="C66" s="8" t="inlineStr">
        <is>
          <t>[SDK] [2400512] Upgrade the iOS and Android SDKs in accordance with the requirements of Apple and Google</t>
        </is>
      </c>
      <c r="D66" s="7" t="inlineStr">
        <is>
          <t>Team Mobile</t>
        </is>
      </c>
      <c r="E66" s="7" t="inlineStr">
        <is>
          <t>SDK</t>
        </is>
      </c>
      <c r="F66" s="7" t="inlineStr"/>
      <c r="G66" s="7" t="inlineStr">
        <is>
          <t>Low</t>
        </is>
      </c>
      <c r="H66" s="7" t="inlineStr">
        <is>
          <t>Done</t>
        </is>
      </c>
      <c r="I66" s="7" t="inlineStr">
        <is>
          <t>Go-live</t>
        </is>
      </c>
      <c r="J66" s="7" t="inlineStr">
        <is>
          <t>Q2</t>
        </is>
      </c>
      <c r="K66" s="7" t="inlineStr">
        <is>
          <t>VÕ THANH PHONG</t>
        </is>
      </c>
      <c r="L66" s="7" t="inlineStr">
        <is>
          <t>phongvo@phs.vn</t>
        </is>
      </c>
      <c r="M66" s="9" t="n">
        <v>46121.70625</v>
      </c>
      <c r="N66" s="7" t="n"/>
      <c r="O66" s="9" t="n">
        <v>46132.34166666667</v>
      </c>
      <c r="P66" s="8" t="inlineStr"/>
      <c r="Q66" s="8" t="inlineStr"/>
    </row>
    <row r="67" ht="24" customHeight="1" s="5">
      <c r="A67" s="7" t="inlineStr">
        <is>
          <t>2222464</t>
        </is>
      </c>
      <c r="B67" s="7" t="inlineStr">
        <is>
          <t>9739423</t>
        </is>
      </c>
      <c r="C67" s="8" t="inlineStr">
        <is>
          <t>[CR] [2222464] [RMD] Add sign-in method</t>
        </is>
      </c>
      <c r="D67" s="7" t="inlineStr">
        <is>
          <t>Team Mobile</t>
        </is>
      </c>
      <c r="E67" s="7" t="inlineStr">
        <is>
          <t>CR</t>
        </is>
      </c>
      <c r="F67" s="7" t="inlineStr">
        <is>
          <t>RMD</t>
        </is>
      </c>
      <c r="G67" s="7" t="inlineStr">
        <is>
          <t>Low</t>
        </is>
      </c>
      <c r="H67" s="7" t="inlineStr">
        <is>
          <t>Done</t>
        </is>
      </c>
      <c r="I67" s="7" t="inlineStr">
        <is>
          <t>Go-live</t>
        </is>
      </c>
      <c r="J67" s="7" t="inlineStr">
        <is>
          <t>Q2</t>
        </is>
      </c>
      <c r="K67" s="7" t="inlineStr">
        <is>
          <t>VÕ THANH PHONG</t>
        </is>
      </c>
      <c r="L67" s="7" t="inlineStr">
        <is>
          <t>phongvo@phs.vn</t>
        </is>
      </c>
      <c r="M67" s="9" t="n">
        <v>46084.69375</v>
      </c>
      <c r="N67" s="7" t="n"/>
      <c r="O67" s="9" t="n">
        <v>46132.34097222222</v>
      </c>
      <c r="P67" s="8" t="inlineStr">
        <is>
          <t>2222464</t>
        </is>
      </c>
      <c r="Q67" s="8" t="inlineStr"/>
    </row>
    <row r="68" ht="24" customHeight="1" s="5">
      <c r="A68" s="7" t="inlineStr">
        <is>
          <t>2212813</t>
        </is>
      </c>
      <c r="B68" s="7" t="inlineStr">
        <is>
          <t>9739422</t>
        </is>
      </c>
      <c r="C68" s="8" t="inlineStr">
        <is>
          <t>[CR] [2212813] [SS] Derivatives Order Placement UI Enhancement</t>
        </is>
      </c>
      <c r="D68" s="7" t="inlineStr">
        <is>
          <t>Team Mobile</t>
        </is>
      </c>
      <c r="E68" s="7" t="inlineStr">
        <is>
          <t>CR</t>
        </is>
      </c>
      <c r="F68" s="7" t="inlineStr">
        <is>
          <t>SS</t>
        </is>
      </c>
      <c r="G68" s="7" t="inlineStr">
        <is>
          <t>Low</t>
        </is>
      </c>
      <c r="H68" s="7" t="inlineStr">
        <is>
          <t>Done</t>
        </is>
      </c>
      <c r="I68" s="7" t="inlineStr">
        <is>
          <t>Go-live</t>
        </is>
      </c>
      <c r="J68" s="7" t="inlineStr">
        <is>
          <t>Q2</t>
        </is>
      </c>
      <c r="K68" s="7" t="inlineStr"/>
      <c r="L68" s="7" t="inlineStr">
        <is>
          <t>phongvo@phs.vn</t>
        </is>
      </c>
      <c r="M68" s="9" t="n">
        <v>46084.69375</v>
      </c>
      <c r="N68" s="7" t="n"/>
      <c r="O68" s="9" t="n">
        <v>46125.70972222222</v>
      </c>
      <c r="P68" s="8" t="inlineStr"/>
      <c r="Q68" s="8" t="inlineStr"/>
    </row>
    <row r="69" ht="24" customHeight="1" s="5">
      <c r="A69" s="7" t="inlineStr">
        <is>
          <t>2133352</t>
        </is>
      </c>
      <c r="B69" s="7" t="inlineStr">
        <is>
          <t>9739420</t>
        </is>
      </c>
      <c r="C69" s="8" t="inlineStr">
        <is>
          <t>[CR] [2133352] [RMD] Margin product calculation tool</t>
        </is>
      </c>
      <c r="D69" s="7" t="inlineStr">
        <is>
          <t>Team Mobile</t>
        </is>
      </c>
      <c r="E69" s="7" t="inlineStr">
        <is>
          <t>CR</t>
        </is>
      </c>
      <c r="F69" s="7" t="inlineStr">
        <is>
          <t>RMD</t>
        </is>
      </c>
      <c r="G69" s="7" t="inlineStr">
        <is>
          <t>Medium</t>
        </is>
      </c>
      <c r="H69" s="7" t="inlineStr">
        <is>
          <t>Done</t>
        </is>
      </c>
      <c r="I69" s="7" t="inlineStr">
        <is>
          <t>Go-live</t>
        </is>
      </c>
      <c r="J69" s="7" t="inlineStr">
        <is>
          <t>Q1</t>
        </is>
      </c>
      <c r="K69" s="7" t="inlineStr">
        <is>
          <t>VÕ THANH PHONG</t>
        </is>
      </c>
      <c r="L69" s="7" t="inlineStr">
        <is>
          <t>phongvo@phs.vn</t>
        </is>
      </c>
      <c r="M69" s="9" t="n">
        <v>46084.69375</v>
      </c>
      <c r="N69" s="9" t="n">
        <v>46111.99930555555</v>
      </c>
      <c r="O69" s="9" t="n">
        <v>46111.625</v>
      </c>
      <c r="P69" s="8" t="inlineStr">
        <is>
          <t>2133352</t>
        </is>
      </c>
      <c r="Q69" s="8" t="inlineStr"/>
    </row>
    <row r="70" ht="24" customHeight="1" s="5">
      <c r="A70" s="7" t="inlineStr">
        <is>
          <t>2247969</t>
        </is>
      </c>
      <c r="B70" s="7" t="inlineStr">
        <is>
          <t>9739418</t>
        </is>
      </c>
      <c r="C70" s="8" t="inlineStr">
        <is>
          <t>[CR] [2247969] [SS] Add PCA trading stock labels and implement stock filtering features on the PHS Elite app</t>
        </is>
      </c>
      <c r="D70" s="7" t="inlineStr">
        <is>
          <t>Team Mobile</t>
        </is>
      </c>
      <c r="E70" s="7" t="inlineStr">
        <is>
          <t>CR</t>
        </is>
      </c>
      <c r="F70" s="7" t="inlineStr">
        <is>
          <t>SS</t>
        </is>
      </c>
      <c r="G70" s="7" t="inlineStr">
        <is>
          <t>Medium</t>
        </is>
      </c>
      <c r="H70" s="7" t="inlineStr">
        <is>
          <t>Done</t>
        </is>
      </c>
      <c r="I70" s="7" t="inlineStr">
        <is>
          <t>Go-live</t>
        </is>
      </c>
      <c r="J70" s="7" t="inlineStr">
        <is>
          <t>Q1</t>
        </is>
      </c>
      <c r="K70" s="7" t="inlineStr">
        <is>
          <t>VÕ THANH PHONG</t>
        </is>
      </c>
      <c r="L70" s="7" t="inlineStr">
        <is>
          <t>phongvo@phs.vn</t>
        </is>
      </c>
      <c r="M70" s="9" t="n">
        <v>46084.69375</v>
      </c>
      <c r="N70" s="9" t="n">
        <v>46111.99930555555</v>
      </c>
      <c r="O70" s="9" t="n">
        <v>46111.625</v>
      </c>
      <c r="P70" s="8" t="inlineStr"/>
      <c r="Q70" s="8" t="inlineStr"/>
    </row>
    <row r="71" ht="24" customHeight="1" s="5">
      <c r="A71" s="7" t="inlineStr">
        <is>
          <t>2186435</t>
        </is>
      </c>
      <c r="B71" s="7" t="inlineStr">
        <is>
          <t>9739416</t>
        </is>
      </c>
      <c r="C71" s="8" t="inlineStr">
        <is>
          <t>[CR] [2186435] [MSD] PROMOTION REGISTRATION FUNCTION UPGRADE</t>
        </is>
      </c>
      <c r="D71" s="7" t="inlineStr">
        <is>
          <t>Team Mobile</t>
        </is>
      </c>
      <c r="E71" s="7" t="inlineStr">
        <is>
          <t>CR</t>
        </is>
      </c>
      <c r="F71" s="7" t="inlineStr">
        <is>
          <t>MSD</t>
        </is>
      </c>
      <c r="G71" s="7" t="inlineStr">
        <is>
          <t>Medium</t>
        </is>
      </c>
      <c r="H71" s="7" t="inlineStr">
        <is>
          <t>Done</t>
        </is>
      </c>
      <c r="I71" s="7" t="inlineStr">
        <is>
          <t>Go-live</t>
        </is>
      </c>
      <c r="J71" s="7" t="inlineStr">
        <is>
          <t>Q1</t>
        </is>
      </c>
      <c r="K71" s="7" t="inlineStr">
        <is>
          <t>VÕ THANH PHONG</t>
        </is>
      </c>
      <c r="L71" s="7" t="inlineStr">
        <is>
          <t>phongvo@phs.vn</t>
        </is>
      </c>
      <c r="M71" s="9" t="n">
        <v>46084.69375</v>
      </c>
      <c r="N71" s="9" t="n">
        <v>46111.99930555555</v>
      </c>
      <c r="O71" s="9" t="n">
        <v>46111.62430555555</v>
      </c>
      <c r="P71" s="8" t="inlineStr">
        <is>
          <t>2186435</t>
        </is>
      </c>
      <c r="Q71" s="8" t="inlineStr"/>
    </row>
    <row r="72" ht="24" customHeight="1" s="5">
      <c r="A72" s="7" t="inlineStr">
        <is>
          <t>2285823</t>
        </is>
      </c>
      <c r="B72" s="7" t="inlineStr">
        <is>
          <t>9739417</t>
        </is>
      </c>
      <c r="C72" s="8" t="inlineStr">
        <is>
          <t>[CR] [2285823] [IC] THE LOGIN SCREEN GREETING MESSAGE</t>
        </is>
      </c>
      <c r="D72" s="7" t="inlineStr">
        <is>
          <t>Team Mobile</t>
        </is>
      </c>
      <c r="E72" s="7" t="inlineStr">
        <is>
          <t>CR</t>
        </is>
      </c>
      <c r="F72" s="7" t="inlineStr">
        <is>
          <t>IC</t>
        </is>
      </c>
      <c r="G72" s="7" t="inlineStr">
        <is>
          <t>Medium</t>
        </is>
      </c>
      <c r="H72" s="7" t="inlineStr">
        <is>
          <t>Done</t>
        </is>
      </c>
      <c r="I72" s="7" t="inlineStr">
        <is>
          <t>Go-live</t>
        </is>
      </c>
      <c r="J72" s="7" t="inlineStr">
        <is>
          <t>Q1</t>
        </is>
      </c>
      <c r="K72" s="7" t="inlineStr">
        <is>
          <t>VÕ THANH PHONG</t>
        </is>
      </c>
      <c r="L72" s="7" t="inlineStr">
        <is>
          <t>phongvo@phs.vn</t>
        </is>
      </c>
      <c r="M72" s="9" t="n">
        <v>46084.69375</v>
      </c>
      <c r="N72" s="9" t="n">
        <v>46097.99930555555</v>
      </c>
      <c r="O72" s="9" t="n">
        <v>46097.46597222222</v>
      </c>
      <c r="P72" s="8" t="inlineStr"/>
      <c r="Q72" s="8" t="inlineStr"/>
    </row>
    <row r="73" ht="24" customHeight="1" s="5">
      <c r="A73" s="7" t="inlineStr">
        <is>
          <t>2224919</t>
        </is>
      </c>
      <c r="B73" s="7" t="inlineStr">
        <is>
          <t>9739421</t>
        </is>
      </c>
      <c r="C73" s="8" t="inlineStr">
        <is>
          <t>[CR] [2224919] [SS] Feature to save multiple login accounts on a single device in the PHS Elite Trading app</t>
        </is>
      </c>
      <c r="D73" s="7" t="inlineStr">
        <is>
          <t>Team Mobile</t>
        </is>
      </c>
      <c r="E73" s="7" t="inlineStr">
        <is>
          <t>CR</t>
        </is>
      </c>
      <c r="F73" s="7" t="inlineStr">
        <is>
          <t>SS</t>
        </is>
      </c>
      <c r="G73" s="7" t="inlineStr">
        <is>
          <t>Medium</t>
        </is>
      </c>
      <c r="H73" s="7" t="inlineStr">
        <is>
          <t>Done</t>
        </is>
      </c>
      <c r="I73" s="7" t="inlineStr">
        <is>
          <t>Go-live</t>
        </is>
      </c>
      <c r="J73" s="7" t="inlineStr">
        <is>
          <t>Q1</t>
        </is>
      </c>
      <c r="K73" s="7" t="inlineStr">
        <is>
          <t>VÕ THANH PHONG</t>
        </is>
      </c>
      <c r="L73" s="7" t="inlineStr">
        <is>
          <t>phongvo@phs.vn</t>
        </is>
      </c>
      <c r="M73" s="9" t="n">
        <v>46084.69375</v>
      </c>
      <c r="N73" s="9" t="n">
        <v>46097.99930555555</v>
      </c>
      <c r="O73" s="9" t="n">
        <v>46097.46527777778</v>
      </c>
      <c r="P73" s="8" t="inlineStr"/>
      <c r="Q73" s="8" t="inlineStr"/>
    </row>
    <row r="74" ht="24" customHeight="1" s="5">
      <c r="A74" s="7" t="inlineStr">
        <is>
          <t>2302697</t>
        </is>
      </c>
      <c r="B74" s="7" t="inlineStr">
        <is>
          <t>9739413</t>
        </is>
      </c>
      <c r="C74" s="8" t="inlineStr">
        <is>
          <t>[CR] [2302697] [LG] Add content regarding personal data protection</t>
        </is>
      </c>
      <c r="D74" s="7" t="inlineStr">
        <is>
          <t>Team Mobile</t>
        </is>
      </c>
      <c r="E74" s="7" t="inlineStr">
        <is>
          <t>CR</t>
        </is>
      </c>
      <c r="F74" s="7" t="inlineStr">
        <is>
          <t>LG</t>
        </is>
      </c>
      <c r="G74" s="7" t="inlineStr">
        <is>
          <t>Low</t>
        </is>
      </c>
      <c r="H74" s="7" t="inlineStr">
        <is>
          <t>Rejected</t>
        </is>
      </c>
      <c r="I74" s="7" t="inlineStr">
        <is>
          <t>Rejected</t>
        </is>
      </c>
      <c r="J74" s="7" t="inlineStr">
        <is>
          <t>Q1</t>
        </is>
      </c>
      <c r="K74" s="7" t="inlineStr"/>
      <c r="L74" s="7" t="inlineStr">
        <is>
          <t>phongvo@phs.vn</t>
        </is>
      </c>
      <c r="M74" s="9" t="n">
        <v>46084.69375</v>
      </c>
      <c r="N74" s="7" t="n"/>
      <c r="O74" s="9" t="n">
        <v>46087.37430555555</v>
      </c>
      <c r="P74" s="8" t="inlineStr"/>
      <c r="Q74" s="8" t="inlineStr"/>
    </row>
    <row r="75" ht="24" customHeight="1" s="5">
      <c r="A75" s="7" t="inlineStr">
        <is>
          <t>2185585</t>
        </is>
      </c>
      <c r="B75" s="7" t="inlineStr">
        <is>
          <t>9739430</t>
        </is>
      </c>
      <c r="C75" s="8" t="inlineStr">
        <is>
          <t>[CR] [2185585] [IT] Add the Reward Redemption feature to the PHS Elite Trading application</t>
        </is>
      </c>
      <c r="D75" s="7" t="inlineStr">
        <is>
          <t>Team Mobile</t>
        </is>
      </c>
      <c r="E75" s="7" t="inlineStr">
        <is>
          <t>CR</t>
        </is>
      </c>
      <c r="F75" s="7" t="inlineStr">
        <is>
          <t>IT</t>
        </is>
      </c>
      <c r="G75" s="7" t="inlineStr">
        <is>
          <t>Low</t>
        </is>
      </c>
      <c r="H75" s="7" t="inlineStr">
        <is>
          <t>Done</t>
        </is>
      </c>
      <c r="I75" s="7" t="inlineStr">
        <is>
          <t>Go-live</t>
        </is>
      </c>
      <c r="J75" s="7" t="inlineStr">
        <is>
          <t>Q1</t>
        </is>
      </c>
      <c r="K75" s="7" t="inlineStr">
        <is>
          <t>VÕ THANH PHONG</t>
        </is>
      </c>
      <c r="L75" s="7" t="inlineStr">
        <is>
          <t>phongvo@phs.vn</t>
        </is>
      </c>
      <c r="M75" s="9" t="n">
        <v>46084.69444444445</v>
      </c>
      <c r="N75" s="7" t="n"/>
      <c r="O75" s="9" t="n">
        <v>46084.69513888889</v>
      </c>
      <c r="P75" s="8" t="inlineStr"/>
      <c r="Q75" s="8" t="inlineStr"/>
    </row>
    <row r="76" ht="24" customHeight="1" s="5">
      <c r="A76" s="7" t="inlineStr">
        <is>
          <t>2154685</t>
        </is>
      </c>
      <c r="B76" s="7" t="inlineStr">
        <is>
          <t>9739431</t>
        </is>
      </c>
      <c r="C76" s="8" t="inlineStr">
        <is>
          <t>[CR] [2154685] [INB] Mutual Fund Distribution (Phase 2)</t>
        </is>
      </c>
      <c r="D76" s="7" t="inlineStr">
        <is>
          <t>Team Mobile</t>
        </is>
      </c>
      <c r="E76" s="7" t="inlineStr">
        <is>
          <t>CR</t>
        </is>
      </c>
      <c r="F76" s="7" t="inlineStr">
        <is>
          <t>INB</t>
        </is>
      </c>
      <c r="G76" s="7" t="inlineStr">
        <is>
          <t>Medium</t>
        </is>
      </c>
      <c r="H76" s="7" t="inlineStr">
        <is>
          <t>Done</t>
        </is>
      </c>
      <c r="I76" s="7" t="inlineStr">
        <is>
          <t>Go-live</t>
        </is>
      </c>
      <c r="J76" s="7" t="inlineStr">
        <is>
          <t>Q1</t>
        </is>
      </c>
      <c r="K76" s="7" t="inlineStr"/>
      <c r="L76" s="7" t="inlineStr">
        <is>
          <t>phongvo@phs.vn</t>
        </is>
      </c>
      <c r="M76" s="9" t="n">
        <v>46084.69444444445</v>
      </c>
      <c r="N76" s="7" t="n"/>
      <c r="O76" s="9" t="n">
        <v>46084.69513888889</v>
      </c>
      <c r="P76" s="8" t="inlineStr">
        <is>
          <t>2154685</t>
        </is>
      </c>
      <c r="Q76" s="8" t="inlineStr"/>
    </row>
    <row r="77" ht="24" customHeight="1" s="5">
      <c r="A77" s="7" t="inlineStr"/>
      <c r="B77" s="7" t="inlineStr">
        <is>
          <t>9739432</t>
        </is>
      </c>
      <c r="C77" s="8" t="inlineStr">
        <is>
          <t>[MKT] Update Logo PHS 20 years anniversary</t>
        </is>
      </c>
      <c r="D77" s="7" t="inlineStr">
        <is>
          <t>Team Mobile</t>
        </is>
      </c>
      <c r="E77" s="7" t="inlineStr">
        <is>
          <t>Internal</t>
        </is>
      </c>
      <c r="F77" s="7" t="inlineStr"/>
      <c r="G77" s="7" t="inlineStr">
        <is>
          <t>Medium</t>
        </is>
      </c>
      <c r="H77" s="7" t="inlineStr">
        <is>
          <t>Done</t>
        </is>
      </c>
      <c r="I77" s="7" t="inlineStr">
        <is>
          <t>Go-live</t>
        </is>
      </c>
      <c r="J77" s="7" t="inlineStr">
        <is>
          <t>Q1</t>
        </is>
      </c>
      <c r="K77" s="7" t="inlineStr">
        <is>
          <t>VÕ THANH PHONG</t>
        </is>
      </c>
      <c r="L77" s="7" t="inlineStr">
        <is>
          <t>phongvo@phs.vn</t>
        </is>
      </c>
      <c r="M77" s="9" t="n">
        <v>46084.69444444445</v>
      </c>
      <c r="N77" s="7" t="n"/>
      <c r="O77" s="9" t="n">
        <v>46084.69513888889</v>
      </c>
      <c r="P77" s="8" t="inlineStr"/>
      <c r="Q77" s="8" t="inlineStr"/>
    </row>
    <row r="78" ht="24" customHeight="1" s="5">
      <c r="A78" s="7" t="inlineStr">
        <is>
          <t>2077975</t>
        </is>
      </c>
      <c r="B78" s="7" t="inlineStr">
        <is>
          <t>9739433</t>
        </is>
      </c>
      <c r="C78" s="8" t="inlineStr">
        <is>
          <t>[CR] [2077975] [MKT] Collaboration with Woori Bank Proposal</t>
        </is>
      </c>
      <c r="D78" s="7" t="inlineStr">
        <is>
          <t>Team Mobile</t>
        </is>
      </c>
      <c r="E78" s="7" t="inlineStr">
        <is>
          <t>CR</t>
        </is>
      </c>
      <c r="F78" s="7" t="inlineStr">
        <is>
          <t>MKT</t>
        </is>
      </c>
      <c r="G78" s="7" t="inlineStr">
        <is>
          <t>Low</t>
        </is>
      </c>
      <c r="H78" s="7" t="inlineStr">
        <is>
          <t>Done</t>
        </is>
      </c>
      <c r="I78" s="7" t="inlineStr">
        <is>
          <t>Go-live</t>
        </is>
      </c>
      <c r="J78" s="7" t="inlineStr">
        <is>
          <t>Q1</t>
        </is>
      </c>
      <c r="K78" s="7" t="inlineStr"/>
      <c r="L78" s="7" t="inlineStr">
        <is>
          <t>phongvo@phs.vn</t>
        </is>
      </c>
      <c r="M78" s="9" t="n">
        <v>46084.69444444445</v>
      </c>
      <c r="N78" s="7" t="n"/>
      <c r="O78" s="9" t="n">
        <v>46084.69513888889</v>
      </c>
      <c r="P78" s="8" t="inlineStr"/>
      <c r="Q78" s="8" t="inlineStr"/>
    </row>
    <row r="79" ht="24" customHeight="1" s="5">
      <c r="A79" s="7" t="inlineStr">
        <is>
          <t>2196774</t>
        </is>
      </c>
      <c r="B79" s="7" t="inlineStr">
        <is>
          <t>9739434</t>
        </is>
      </c>
      <c r="C79" s="8" t="inlineStr">
        <is>
          <t>[CR] [2196774] [INB] Proposed modifications of Mobile UI and middleware modules to facilitate Elite Seeds sub-account deployment</t>
        </is>
      </c>
      <c r="D79" s="7" t="inlineStr">
        <is>
          <t>Team Mobile</t>
        </is>
      </c>
      <c r="E79" s="7" t="inlineStr">
        <is>
          <t>CR</t>
        </is>
      </c>
      <c r="F79" s="7" t="inlineStr">
        <is>
          <t>INB</t>
        </is>
      </c>
      <c r="G79" s="7" t="inlineStr">
        <is>
          <t>Low</t>
        </is>
      </c>
      <c r="H79" s="7" t="inlineStr">
        <is>
          <t>Done</t>
        </is>
      </c>
      <c r="I79" s="7" t="inlineStr">
        <is>
          <t>Go-live</t>
        </is>
      </c>
      <c r="J79" s="7" t="inlineStr">
        <is>
          <t>Q1</t>
        </is>
      </c>
      <c r="K79" s="7" t="inlineStr">
        <is>
          <t>VÕ THANH PHONG</t>
        </is>
      </c>
      <c r="L79" s="7" t="inlineStr">
        <is>
          <t>phongvo@phs.vn</t>
        </is>
      </c>
      <c r="M79" s="9" t="n">
        <v>46084.69444444445</v>
      </c>
      <c r="N79" s="7" t="n"/>
      <c r="O79" s="9" t="n">
        <v>46084.69513888889</v>
      </c>
      <c r="P79" s="8" t="inlineStr"/>
      <c r="Q79" s="8" t="inlineStr"/>
    </row>
    <row r="80" ht="24" customHeight="1" s="5">
      <c r="A80" s="7" t="inlineStr">
        <is>
          <t>2242463</t>
        </is>
      </c>
      <c r="B80" s="7" t="inlineStr">
        <is>
          <t>9739435</t>
        </is>
      </c>
      <c r="C80" s="8" t="inlineStr">
        <is>
          <t>[CR] [2242463] [MSD] PROMOTION: HORSE YEAR FORTUNE 2026</t>
        </is>
      </c>
      <c r="D80" s="7" t="inlineStr">
        <is>
          <t>Team Mobile</t>
        </is>
      </c>
      <c r="E80" s="7" t="inlineStr">
        <is>
          <t>CR</t>
        </is>
      </c>
      <c r="F80" s="7" t="inlineStr">
        <is>
          <t>MSD</t>
        </is>
      </c>
      <c r="G80" s="7" t="inlineStr">
        <is>
          <t>Low</t>
        </is>
      </c>
      <c r="H80" s="7" t="inlineStr">
        <is>
          <t>Done</t>
        </is>
      </c>
      <c r="I80" s="7" t="inlineStr">
        <is>
          <t>Go-live</t>
        </is>
      </c>
      <c r="J80" s="7" t="inlineStr">
        <is>
          <t>Q1</t>
        </is>
      </c>
      <c r="K80" s="7" t="inlineStr">
        <is>
          <t>VÕ THANH PHONG</t>
        </is>
      </c>
      <c r="L80" s="7" t="inlineStr">
        <is>
          <t>phongvo@phs.vn</t>
        </is>
      </c>
      <c r="M80" s="9" t="n">
        <v>46084.69444444445</v>
      </c>
      <c r="N80" s="7" t="n"/>
      <c r="O80" s="9" t="n">
        <v>46084.69513888889</v>
      </c>
      <c r="P80" s="8" t="inlineStr"/>
      <c r="Q80" s="8" t="inlineStr"/>
    </row>
    <row r="81" ht="24" customHeight="1" s="5">
      <c r="A81" s="7" t="inlineStr">
        <is>
          <t>2185583</t>
        </is>
      </c>
      <c r="B81" s="7" t="inlineStr">
        <is>
          <t>9739436</t>
        </is>
      </c>
      <c r="C81" s="8" t="inlineStr">
        <is>
          <t>[CR] [2185583] [IT] Enhancement of the Smart OTP Function on the PHS Elite Trading Application</t>
        </is>
      </c>
      <c r="D81" s="7" t="inlineStr">
        <is>
          <t>Team Mobile</t>
        </is>
      </c>
      <c r="E81" s="7" t="inlineStr">
        <is>
          <t>CR</t>
        </is>
      </c>
      <c r="F81" s="7" t="inlineStr">
        <is>
          <t>IT</t>
        </is>
      </c>
      <c r="G81" s="7" t="inlineStr">
        <is>
          <t>Low</t>
        </is>
      </c>
      <c r="H81" s="7" t="inlineStr">
        <is>
          <t>Done</t>
        </is>
      </c>
      <c r="I81" s="7" t="inlineStr">
        <is>
          <t>Go-live</t>
        </is>
      </c>
      <c r="J81" s="7" t="inlineStr">
        <is>
          <t>Q1</t>
        </is>
      </c>
      <c r="K81" s="7" t="inlineStr">
        <is>
          <t>VÕ THANH PHONG</t>
        </is>
      </c>
      <c r="L81" s="7" t="inlineStr">
        <is>
          <t>phongvo@phs.vn</t>
        </is>
      </c>
      <c r="M81" s="9" t="n">
        <v>46084.69444444445</v>
      </c>
      <c r="N81" s="7" t="n"/>
      <c r="O81" s="9" t="n">
        <v>46084.69513888889</v>
      </c>
      <c r="P81" s="8" t="inlineStr"/>
      <c r="Q81" s="8" t="inlineStr"/>
    </row>
    <row r="82" ht="24" customHeight="1" s="5">
      <c r="A82" s="7" t="inlineStr">
        <is>
          <t>2213580</t>
        </is>
      </c>
      <c r="B82" s="7" t="inlineStr">
        <is>
          <t>9739106</t>
        </is>
      </c>
      <c r="C82" s="8" t="inlineStr">
        <is>
          <t>[CR] [2213580] [CCC] Enhancement Successful Reward Redemption Notifications via Email and the PHS Elite Trading App</t>
        </is>
      </c>
      <c r="D82" s="7" t="inlineStr">
        <is>
          <t>Dev Team B</t>
        </is>
      </c>
      <c r="E82" s="7" t="inlineStr">
        <is>
          <t>CR</t>
        </is>
      </c>
      <c r="F82" s="7" t="inlineStr">
        <is>
          <t>CCC</t>
        </is>
      </c>
      <c r="G82" s="7" t="inlineStr">
        <is>
          <t>Low</t>
        </is>
      </c>
      <c r="H82" s="7" t="inlineStr">
        <is>
          <t>Done</t>
        </is>
      </c>
      <c r="I82" s="7" t="inlineStr">
        <is>
          <t>Go-live</t>
        </is>
      </c>
      <c r="J82" s="7" t="inlineStr">
        <is>
          <t>Q1</t>
        </is>
      </c>
      <c r="K82" s="7" t="inlineStr">
        <is>
          <t>VÕ BẢO MINH</t>
        </is>
      </c>
      <c r="L82" s="7" t="inlineStr">
        <is>
          <t>minhvo@phs.vn</t>
        </is>
      </c>
      <c r="M82" s="9" t="n">
        <v>46084.65763888889</v>
      </c>
      <c r="N82" s="7" t="n"/>
      <c r="O82" s="9" t="n">
        <v>46098.45277777778</v>
      </c>
      <c r="P82" s="8" t="inlineStr"/>
      <c r="Q82" s="8" t="inlineStr"/>
    </row>
    <row r="83" ht="24" customHeight="1" s="5">
      <c r="A83" s="7" t="inlineStr">
        <is>
          <t>2186435</t>
        </is>
      </c>
      <c r="B83" s="7" t="inlineStr">
        <is>
          <t>9739108</t>
        </is>
      </c>
      <c r="C83" s="8" t="inlineStr">
        <is>
          <t>[CR] [2186435] [MSD] Enhance Promotion features on Admin Customer Portal</t>
        </is>
      </c>
      <c r="D83" s="7" t="inlineStr">
        <is>
          <t>Dev Team B</t>
        </is>
      </c>
      <c r="E83" s="7" t="inlineStr">
        <is>
          <t>CR</t>
        </is>
      </c>
      <c r="F83" s="7" t="inlineStr">
        <is>
          <t>MSD</t>
        </is>
      </c>
      <c r="G83" s="7" t="inlineStr">
        <is>
          <t>Medium</t>
        </is>
      </c>
      <c r="H83" s="7" t="inlineStr">
        <is>
          <t>Done</t>
        </is>
      </c>
      <c r="I83" s="7" t="inlineStr">
        <is>
          <t>Go-live</t>
        </is>
      </c>
      <c r="J83" s="7" t="inlineStr">
        <is>
          <t>Q1</t>
        </is>
      </c>
      <c r="K83" s="7" t="inlineStr">
        <is>
          <t>VÕ BẢO MINH</t>
        </is>
      </c>
      <c r="L83" s="7" t="inlineStr">
        <is>
          <t>minhvo@phs.vn</t>
        </is>
      </c>
      <c r="M83" s="9" t="n">
        <v>46084.65763888889</v>
      </c>
      <c r="N83" s="9" t="n">
        <v>46090.99930555555</v>
      </c>
      <c r="O83" s="9" t="n">
        <v>46091.36597222222</v>
      </c>
      <c r="P83" s="8" t="inlineStr">
        <is>
          <t>2186435</t>
        </is>
      </c>
      <c r="Q83" s="8" t="inlineStr"/>
    </row>
    <row r="84" ht="24" customHeight="1" s="5">
      <c r="A84" s="7" t="inlineStr">
        <is>
          <t>2065876</t>
        </is>
      </c>
      <c r="B84" s="7" t="inlineStr">
        <is>
          <t>9739105</t>
        </is>
      </c>
      <c r="C84" s="8" t="inlineStr">
        <is>
          <t>[CR] [2065876] [MSD] Add a feature to view the registration/deletion history of beneficiary accounts (Same-owner transfer) on the Admin Customer Portal</t>
        </is>
      </c>
      <c r="D84" s="7" t="inlineStr">
        <is>
          <t>Dev Team B</t>
        </is>
      </c>
      <c r="E84" s="7" t="inlineStr">
        <is>
          <t>CR</t>
        </is>
      </c>
      <c r="F84" s="7" t="inlineStr">
        <is>
          <t>MSD</t>
        </is>
      </c>
      <c r="G84" s="7" t="inlineStr">
        <is>
          <t>Low</t>
        </is>
      </c>
      <c r="H84" s="7" t="inlineStr">
        <is>
          <t>Done</t>
        </is>
      </c>
      <c r="I84" s="7" t="inlineStr">
        <is>
          <t>Go-live</t>
        </is>
      </c>
      <c r="J84" s="7" t="inlineStr">
        <is>
          <t>Q1</t>
        </is>
      </c>
      <c r="K84" s="7" t="inlineStr">
        <is>
          <t>VÕ BẢO MINH</t>
        </is>
      </c>
      <c r="L84" s="7" t="inlineStr">
        <is>
          <t>minhvo@phs.vn</t>
        </is>
      </c>
      <c r="M84" s="9" t="n">
        <v>46084.65694444445</v>
      </c>
      <c r="N84" s="7" t="n"/>
      <c r="O84" s="9" t="n">
        <v>46085.28888888889</v>
      </c>
      <c r="P84" s="8" t="inlineStr"/>
      <c r="Q84" s="8" t="inlineStr"/>
    </row>
    <row r="85" ht="24" customHeight="1" s="5">
      <c r="A85" s="7" t="inlineStr">
        <is>
          <t>1722552</t>
        </is>
      </c>
      <c r="B85" s="7" t="inlineStr">
        <is>
          <t>9744376</t>
        </is>
      </c>
      <c r="C85" s="8" t="inlineStr">
        <is>
          <t>[CR] [1722552] [BMD] Provide API data source for Transaction fluctuation function in Broker portal</t>
        </is>
      </c>
      <c r="D85" s="7" t="inlineStr">
        <is>
          <t>Dev Team B</t>
        </is>
      </c>
      <c r="E85" s="7" t="inlineStr">
        <is>
          <t>CR</t>
        </is>
      </c>
      <c r="F85" s="7" t="inlineStr">
        <is>
          <t>BMD</t>
        </is>
      </c>
      <c r="G85" s="7" t="inlineStr">
        <is>
          <t>Medium</t>
        </is>
      </c>
      <c r="H85" s="7" t="inlineStr">
        <is>
          <t>Done</t>
        </is>
      </c>
      <c r="I85" s="7" t="inlineStr">
        <is>
          <t>Go-live</t>
        </is>
      </c>
      <c r="J85" s="7" t="inlineStr">
        <is>
          <t>Q1</t>
        </is>
      </c>
      <c r="K85" s="7" t="inlineStr">
        <is>
          <t>VÕ BẢO MINH</t>
        </is>
      </c>
      <c r="L85" s="7" t="inlineStr">
        <is>
          <t>minhvo@phs.vn</t>
        </is>
      </c>
      <c r="M85" s="9" t="n">
        <v>46085.68402777778</v>
      </c>
      <c r="N85" s="9" t="n">
        <v>46066.99930555555</v>
      </c>
      <c r="O85" s="9" t="n">
        <v>46085.68680555555</v>
      </c>
      <c r="P85" s="8" t="inlineStr"/>
      <c r="Q85" s="8" t="inlineStr"/>
    </row>
  </sheetData>
  <mergeCells count="1">
    <mergeCell ref="A1:Q1"/>
  </mergeCells>
  <dataValidations count="6">
    <dataValidation sqref="D3:D200" showDropDown="0" showInputMessage="0" showErrorMessage="0" allowBlank="1" error="Please select a valid team" type="list">
      <formula1>"Team Mobile,Dev Team B,MW Team"</formula1>
    </dataValidation>
    <dataValidation sqref="H3:H200" showDropDown="0" showInputMessage="0" showErrorMessage="0" allowBlank="1" type="list">
      <formula1>"Todo,Doing,Done,Overdue,Blocked"</formula1>
    </dataValidation>
    <dataValidation sqref="G3:G200" showDropDown="0" showInputMessage="0" showErrorMessage="0" allowBlank="1" type="list">
      <formula1>"Critical,High,Medium,Low"</formula1>
    </dataValidation>
    <dataValidation sqref="E3:E200" showDropDown="0" showInputMessage="0" showErrorMessage="0" allowBlank="1" type="list">
      <formula1>"CR,SDK,Bug Fix,Internal,Infrastructure"</formula1>
    </dataValidation>
    <dataValidation sqref="I3:I200" showDropDown="0" showInputMessage="0" showErrorMessage="0" allowBlank="1" type="list">
      <formula1>"Q1,Q2,Q3,Q4,Backlog"</formula1>
    </dataValidation>
    <dataValidation sqref="F3:F200" showDropDown="0" showInputMessage="0" showErrorMessage="0" allowBlank="1" type="list">
      <formula1>"RMD,SS,MSD,MKT,IT,RS,BMD,DTD,INB,FN,AC,HR,IC,LG,CCC,KT"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3"/>
  <sheetViews>
    <sheetView workbookViewId="0">
      <pane ySplit="3" topLeftCell="A4" activePane="bottomLeft" state="frozen"/>
      <selection pane="bottomLeft" activeCell="A1" sqref="A1"/>
    </sheetView>
  </sheetViews>
  <sheetFormatPr baseColWidth="8" defaultRowHeight="15"/>
  <cols>
    <col width="12" customWidth="1" style="5" min="1" max="1"/>
    <col width="46" customWidth="1" style="5" min="2" max="2"/>
    <col width="8" customWidth="1" style="5" min="3" max="3"/>
    <col width="10" customWidth="1" style="5" min="4" max="4"/>
    <col width="10" customWidth="1" style="5" min="5" max="5"/>
    <col width="14" customWidth="1" style="5" min="6" max="6"/>
    <col width="14" customWidth="1" style="5" min="7" max="7"/>
    <col width="14" customWidth="1" style="5" min="8" max="8"/>
    <col width="16" customWidth="1" style="5" min="9" max="9"/>
    <col width="40" customWidth="1" style="5" min="10" max="10"/>
  </cols>
  <sheetData>
    <row r="1">
      <c r="A1" s="10" t="inlineStr">
        <is>
          <t>CR Overview</t>
        </is>
      </c>
    </row>
    <row r="3">
      <c r="A3" s="6" t="inlineStr">
        <is>
          <t>Request ID</t>
        </is>
      </c>
      <c r="B3" s="6" t="inlineStr">
        <is>
          <t>CR Title</t>
        </is>
      </c>
      <c r="C3" s="6" t="inlineStr">
        <is>
          <t>Dept</t>
        </is>
      </c>
      <c r="D3" s="6" t="inlineStr">
        <is>
          <t>Priority</t>
        </is>
      </c>
      <c r="E3" s="6" t="inlineStr">
        <is>
          <t>Teams</t>
        </is>
      </c>
      <c r="F3" s="6" t="inlineStr">
        <is>
          <t>Team Mobile</t>
        </is>
      </c>
      <c r="G3" s="6" t="inlineStr">
        <is>
          <t>Dev Team B</t>
        </is>
      </c>
      <c r="H3" s="6" t="inlineStr">
        <is>
          <t>MW Team</t>
        </is>
      </c>
      <c r="I3" s="6" t="inlineStr">
        <is>
          <t>Overall Status</t>
        </is>
      </c>
      <c r="J3" s="6" t="inlineStr">
        <is>
          <t>Notes</t>
        </is>
      </c>
    </row>
    <row r="4" ht="26" customHeight="1" s="5">
      <c r="A4" s="7" t="inlineStr">
        <is>
          <t>2084592</t>
        </is>
      </c>
      <c r="B4" s="8" t="inlineStr">
        <is>
          <t>Calculate interest for accounts using special interest rate products</t>
        </is>
      </c>
      <c r="C4" s="7" t="inlineStr">
        <is>
          <t>RMD</t>
        </is>
      </c>
      <c r="D4" s="11" t="inlineStr">
        <is>
          <t>High</t>
        </is>
      </c>
      <c r="E4" s="7" t="inlineStr">
        <is>
          <t>3 teams</t>
        </is>
      </c>
      <c r="F4" s="12" t="inlineStr">
        <is>
          <t>Overdue</t>
        </is>
      </c>
      <c r="G4" s="13" t="inlineStr">
        <is>
          <t>UAT</t>
        </is>
      </c>
      <c r="H4" s="14" t="inlineStr">
        <is>
          <t>Blocked</t>
        </is>
      </c>
      <c r="I4" s="12" t="inlineStr">
        <is>
          <t>Overdue</t>
        </is>
      </c>
      <c r="J4" s="8" t="inlineStr">
        <is>
          <t>Team Mobile: overdue (deadline 31/05/2026)</t>
        </is>
      </c>
    </row>
    <row r="5" ht="26" customHeight="1" s="5">
      <c r="A5" s="7" t="inlineStr">
        <is>
          <t>2275303</t>
        </is>
      </c>
      <c r="B5" s="8" t="inlineStr">
        <is>
          <t>Enhance securities depository features via the PHS Elite Trading application</t>
        </is>
      </c>
      <c r="C5" s="7" t="inlineStr">
        <is>
          <t>SS</t>
        </is>
      </c>
      <c r="D5" s="15" t="inlineStr">
        <is>
          <t>Medium</t>
        </is>
      </c>
      <c r="E5" s="7" t="inlineStr">
        <is>
          <t>3 teams</t>
        </is>
      </c>
      <c r="F5" s="16" t="inlineStr">
        <is>
          <t>Done</t>
        </is>
      </c>
      <c r="G5" s="16" t="inlineStr">
        <is>
          <t>Done</t>
        </is>
      </c>
      <c r="H5" s="17" t="inlineStr">
        <is>
          <t>Doing</t>
        </is>
      </c>
      <c r="I5" s="18" t="inlineStr">
        <is>
          <t>Partially Done</t>
        </is>
      </c>
      <c r="J5" s="8" t="inlineStr">
        <is>
          <t>MW Team: no deadline set</t>
        </is>
      </c>
    </row>
    <row r="6" ht="26" customHeight="1" s="5">
      <c r="A6" s="7" t="inlineStr">
        <is>
          <t>2149046</t>
        </is>
      </c>
      <c r="B6" s="8" t="inlineStr">
        <is>
          <t>EKYC</t>
        </is>
      </c>
      <c r="C6" s="7" t="inlineStr">
        <is>
          <t>IT</t>
        </is>
      </c>
      <c r="D6" s="11" t="inlineStr">
        <is>
          <t>High</t>
        </is>
      </c>
      <c r="E6" s="7" t="inlineStr">
        <is>
          <t>2 teams</t>
        </is>
      </c>
      <c r="F6" s="12" t="inlineStr">
        <is>
          <t>Overdue</t>
        </is>
      </c>
      <c r="G6" s="19" t="inlineStr">
        <is>
          <t>—</t>
        </is>
      </c>
      <c r="H6" s="13" t="inlineStr">
        <is>
          <t>UAT</t>
        </is>
      </c>
      <c r="I6" s="12" t="inlineStr">
        <is>
          <t>Overdue</t>
        </is>
      </c>
      <c r="J6" s="8" t="inlineStr">
        <is>
          <t>Team Mobile: overdue (deadline 22/05/2026)</t>
        </is>
      </c>
    </row>
    <row r="7" ht="26" customHeight="1" s="5">
      <c r="A7" s="7" t="inlineStr">
        <is>
          <t>2238356</t>
        </is>
      </c>
      <c r="B7" s="8" t="inlineStr">
        <is>
          <t>ADVANCE MARGIN FOR DERIVATIVES</t>
        </is>
      </c>
      <c r="C7" s="7" t="inlineStr">
        <is>
          <t>MSD</t>
        </is>
      </c>
      <c r="D7" s="11" t="inlineStr">
        <is>
          <t>High</t>
        </is>
      </c>
      <c r="E7" s="7" t="inlineStr">
        <is>
          <t>2 teams</t>
        </is>
      </c>
      <c r="F7" s="12" t="inlineStr">
        <is>
          <t>Overdue</t>
        </is>
      </c>
      <c r="G7" s="19" t="inlineStr">
        <is>
          <t>—</t>
        </is>
      </c>
      <c r="H7" s="13" t="inlineStr">
        <is>
          <t>UAT</t>
        </is>
      </c>
      <c r="I7" s="12" t="inlineStr">
        <is>
          <t>Overdue</t>
        </is>
      </c>
      <c r="J7" s="8" t="inlineStr">
        <is>
          <t>Team Mobile: overdue (deadline 29/05/2026)</t>
        </is>
      </c>
    </row>
    <row r="8" ht="26" customHeight="1" s="5">
      <c r="A8" s="7" t="inlineStr">
        <is>
          <t>2133352</t>
        </is>
      </c>
      <c r="B8" s="8" t="inlineStr">
        <is>
          <t>Margin product calculation tool</t>
        </is>
      </c>
      <c r="C8" s="7" t="inlineStr">
        <is>
          <t>RMD</t>
        </is>
      </c>
      <c r="D8" s="15" t="inlineStr">
        <is>
          <t>Medium</t>
        </is>
      </c>
      <c r="E8" s="7" t="inlineStr">
        <is>
          <t>2 teams</t>
        </is>
      </c>
      <c r="F8" s="16" t="inlineStr">
        <is>
          <t>Done</t>
        </is>
      </c>
      <c r="G8" s="19" t="inlineStr">
        <is>
          <t>—</t>
        </is>
      </c>
      <c r="H8" s="16" t="inlineStr">
        <is>
          <t>Done</t>
        </is>
      </c>
      <c r="I8" s="16" t="inlineStr">
        <is>
          <t>Done</t>
        </is>
      </c>
      <c r="J8" s="8" t="inlineStr"/>
    </row>
    <row r="9" ht="26" customHeight="1" s="5">
      <c r="A9" s="7" t="inlineStr">
        <is>
          <t>2154685</t>
        </is>
      </c>
      <c r="B9" s="8" t="inlineStr">
        <is>
          <t>Upgrade fund certificate trading feature on Mobile app</t>
        </is>
      </c>
      <c r="C9" s="7" t="inlineStr">
        <is>
          <t>BMD</t>
        </is>
      </c>
      <c r="D9" s="15" t="inlineStr">
        <is>
          <t>Medium</t>
        </is>
      </c>
      <c r="E9" s="7" t="inlineStr">
        <is>
          <t>2 teams</t>
        </is>
      </c>
      <c r="F9" s="16" t="inlineStr">
        <is>
          <t>Done</t>
        </is>
      </c>
      <c r="G9" s="16" t="inlineStr">
        <is>
          <t>Done</t>
        </is>
      </c>
      <c r="H9" s="19" t="inlineStr">
        <is>
          <t>—</t>
        </is>
      </c>
      <c r="I9" s="16" t="inlineStr">
        <is>
          <t>Done</t>
        </is>
      </c>
      <c r="J9" s="8" t="inlineStr"/>
    </row>
    <row r="10" ht="26" customHeight="1" s="5">
      <c r="A10" s="7" t="inlineStr">
        <is>
          <t>2186435</t>
        </is>
      </c>
      <c r="B10" s="8" t="inlineStr">
        <is>
          <t>PROMOTION REGISTRATION FUNCTION UPGRADE</t>
        </is>
      </c>
      <c r="C10" s="7" t="inlineStr">
        <is>
          <t>MSD</t>
        </is>
      </c>
      <c r="D10" s="15" t="inlineStr">
        <is>
          <t>Medium</t>
        </is>
      </c>
      <c r="E10" s="7" t="inlineStr">
        <is>
          <t>2 teams</t>
        </is>
      </c>
      <c r="F10" s="16" t="inlineStr">
        <is>
          <t>Done</t>
        </is>
      </c>
      <c r="G10" s="16" t="inlineStr">
        <is>
          <t>Done</t>
        </is>
      </c>
      <c r="H10" s="19" t="inlineStr">
        <is>
          <t>—</t>
        </is>
      </c>
      <c r="I10" s="16" t="inlineStr">
        <is>
          <t>Done</t>
        </is>
      </c>
      <c r="J10" s="8" t="inlineStr"/>
    </row>
    <row r="11" ht="26" customHeight="1" s="5">
      <c r="A11" s="7" t="inlineStr">
        <is>
          <t>2335404</t>
        </is>
      </c>
      <c r="B11" s="8" t="inlineStr">
        <is>
          <t>Upgrade the automatic limit adjustment feature on Customer Portal Admin</t>
        </is>
      </c>
      <c r="C11" s="7" t="inlineStr">
        <is>
          <t>RMD</t>
        </is>
      </c>
      <c r="D11" s="15" t="inlineStr">
        <is>
          <t>Medium</t>
        </is>
      </c>
      <c r="E11" s="7" t="inlineStr">
        <is>
          <t>2 teams</t>
        </is>
      </c>
      <c r="F11" s="17" t="inlineStr">
        <is>
          <t>Doing</t>
        </is>
      </c>
      <c r="G11" s="13" t="inlineStr">
        <is>
          <t>UAT</t>
        </is>
      </c>
      <c r="H11" s="19" t="inlineStr">
        <is>
          <t>—</t>
        </is>
      </c>
      <c r="I11" s="17" t="inlineStr">
        <is>
          <t>In Progress</t>
        </is>
      </c>
      <c r="J11" s="8" t="inlineStr">
        <is>
          <t>Team Mobile: no deadline set</t>
        </is>
      </c>
    </row>
    <row r="12" ht="26" customHeight="1" s="5">
      <c r="A12" s="7" t="inlineStr">
        <is>
          <t>2400155</t>
        </is>
      </c>
      <c r="B12" s="8" t="inlineStr">
        <is>
          <t>Develop Mission Tracking Page for Promotion</t>
        </is>
      </c>
      <c r="C12" s="7" t="inlineStr">
        <is>
          <t>MKT</t>
        </is>
      </c>
      <c r="D12" s="15" t="inlineStr">
        <is>
          <t>Medium</t>
        </is>
      </c>
      <c r="E12" s="7" t="inlineStr">
        <is>
          <t>2 teams</t>
        </is>
      </c>
      <c r="F12" s="16" t="inlineStr">
        <is>
          <t>Done</t>
        </is>
      </c>
      <c r="G12" s="16" t="inlineStr">
        <is>
          <t>Done</t>
        </is>
      </c>
      <c r="H12" s="19" t="inlineStr">
        <is>
          <t>—</t>
        </is>
      </c>
      <c r="I12" s="16" t="inlineStr">
        <is>
          <t>Done</t>
        </is>
      </c>
      <c r="J12" s="8" t="inlineStr"/>
    </row>
    <row r="13" ht="26" customHeight="1" s="5">
      <c r="A13" s="7" t="inlineStr">
        <is>
          <t>2216483</t>
        </is>
      </c>
      <c r="B13" s="8" t="inlineStr">
        <is>
          <t>Loyalty system on mobile app (phase 2)</t>
        </is>
      </c>
      <c r="C13" s="7" t="inlineStr">
        <is>
          <t>MSD</t>
        </is>
      </c>
      <c r="D13" s="20" t="inlineStr">
        <is>
          <t>Low</t>
        </is>
      </c>
      <c r="E13" s="7" t="inlineStr">
        <is>
          <t>2 teams</t>
        </is>
      </c>
      <c r="F13" s="17" t="inlineStr">
        <is>
          <t>Doing</t>
        </is>
      </c>
      <c r="G13" s="19" t="inlineStr">
        <is>
          <t>—</t>
        </is>
      </c>
      <c r="H13" s="14" t="inlineStr">
        <is>
          <t>Blocked</t>
        </is>
      </c>
      <c r="I13" s="14" t="inlineStr">
        <is>
          <t>Blocked</t>
        </is>
      </c>
      <c r="J13" s="8" t="inlineStr">
        <is>
          <t>Team Mobile: no deadline set</t>
        </is>
      </c>
    </row>
    <row r="14" ht="26" customHeight="1" s="5">
      <c r="A14" s="7" t="inlineStr">
        <is>
          <t>2222464</t>
        </is>
      </c>
      <c r="B14" s="8" t="inlineStr">
        <is>
          <t>Add sign-in method</t>
        </is>
      </c>
      <c r="C14" s="7" t="inlineStr">
        <is>
          <t>RMD</t>
        </is>
      </c>
      <c r="D14" s="20" t="inlineStr">
        <is>
          <t>Low</t>
        </is>
      </c>
      <c r="E14" s="7" t="inlineStr">
        <is>
          <t>2 teams</t>
        </is>
      </c>
      <c r="F14" s="16" t="inlineStr">
        <is>
          <t>Done</t>
        </is>
      </c>
      <c r="G14" s="19" t="inlineStr">
        <is>
          <t>—</t>
        </is>
      </c>
      <c r="H14" s="16" t="inlineStr">
        <is>
          <t>Done</t>
        </is>
      </c>
      <c r="I14" s="16" t="inlineStr">
        <is>
          <t>Done</t>
        </is>
      </c>
      <c r="J14" s="8" t="inlineStr"/>
    </row>
    <row r="15" ht="26" customHeight="1" s="5">
      <c r="A15" s="7" t="inlineStr">
        <is>
          <t>2283752</t>
        </is>
      </c>
      <c r="B15" s="8" t="inlineStr">
        <is>
          <t>Send Notification via Elite App and mail all right issue</t>
        </is>
      </c>
      <c r="C15" s="7" t="inlineStr">
        <is>
          <t>SS</t>
        </is>
      </c>
      <c r="D15" s="20" t="inlineStr">
        <is>
          <t>Low</t>
        </is>
      </c>
      <c r="E15" s="7" t="inlineStr">
        <is>
          <t>2 teams</t>
        </is>
      </c>
      <c r="F15" s="13" t="inlineStr">
        <is>
          <t>UAT</t>
        </is>
      </c>
      <c r="G15" s="19" t="inlineStr">
        <is>
          <t>—</t>
        </is>
      </c>
      <c r="H15" s="13" t="inlineStr">
        <is>
          <t>UAT</t>
        </is>
      </c>
      <c r="I15" s="13" t="inlineStr">
        <is>
          <t>UAT</t>
        </is>
      </c>
      <c r="J15" s="8" t="inlineStr"/>
    </row>
    <row r="16" ht="26" customHeight="1" s="5">
      <c r="A16" s="7" t="inlineStr">
        <is>
          <t>2289280</t>
        </is>
      </c>
      <c r="B16" s="8" t="inlineStr">
        <is>
          <t>Future-Dated Withdrawal Scheduling for Customers</t>
        </is>
      </c>
      <c r="C16" s="7" t="inlineStr">
        <is>
          <t>FN</t>
        </is>
      </c>
      <c r="D16" s="20" t="inlineStr">
        <is>
          <t>Low</t>
        </is>
      </c>
      <c r="E16" s="7" t="inlineStr">
        <is>
          <t>2 teams</t>
        </is>
      </c>
      <c r="F16" s="21" t="inlineStr">
        <is>
          <t>Todo</t>
        </is>
      </c>
      <c r="G16" s="19" t="inlineStr">
        <is>
          <t>—</t>
        </is>
      </c>
      <c r="H16" s="21" t="inlineStr">
        <is>
          <t>Todo</t>
        </is>
      </c>
      <c r="I16" s="21" t="inlineStr">
        <is>
          <t>Not Started</t>
        </is>
      </c>
      <c r="J16" s="8" t="inlineStr"/>
    </row>
    <row r="17" ht="26" customHeight="1" s="5">
      <c r="A17" s="7" t="inlineStr">
        <is>
          <t>2310394</t>
        </is>
      </c>
      <c r="B17" s="8" t="inlineStr">
        <is>
          <t>Tax analysis and estimation tools for investors (phase 2)</t>
        </is>
      </c>
      <c r="C17" s="7" t="inlineStr">
        <is>
          <t>AC</t>
        </is>
      </c>
      <c r="D17" s="20" t="inlineStr">
        <is>
          <t>Low</t>
        </is>
      </c>
      <c r="E17" s="7" t="inlineStr">
        <is>
          <t>2 teams</t>
        </is>
      </c>
      <c r="F17" s="14" t="inlineStr">
        <is>
          <t>Blocked</t>
        </is>
      </c>
      <c r="G17" s="19" t="inlineStr">
        <is>
          <t>—</t>
        </is>
      </c>
      <c r="H17" s="16" t="inlineStr">
        <is>
          <t>Done</t>
        </is>
      </c>
      <c r="I17" s="14" t="inlineStr">
        <is>
          <t>Blocked</t>
        </is>
      </c>
      <c r="J17" s="8" t="inlineStr"/>
    </row>
    <row r="18" ht="26" customHeight="1" s="5">
      <c r="A18" s="7" t="inlineStr">
        <is>
          <t>2330515</t>
        </is>
      </c>
      <c r="B18" s="8" t="inlineStr">
        <is>
          <t>IPO Share Subscription Feature</t>
        </is>
      </c>
      <c r="C18" s="7" t="inlineStr">
        <is>
          <t>RMD</t>
        </is>
      </c>
      <c r="D18" s="20" t="inlineStr">
        <is>
          <t>Low</t>
        </is>
      </c>
      <c r="E18" s="7" t="inlineStr">
        <is>
          <t>2 teams</t>
        </is>
      </c>
      <c r="F18" s="17" t="inlineStr">
        <is>
          <t>Doing</t>
        </is>
      </c>
      <c r="G18" s="21" t="inlineStr">
        <is>
          <t>Todo</t>
        </is>
      </c>
      <c r="H18" s="19" t="inlineStr">
        <is>
          <t>—</t>
        </is>
      </c>
      <c r="I18" s="17" t="inlineStr">
        <is>
          <t>In Progress</t>
        </is>
      </c>
      <c r="J18" s="8" t="inlineStr">
        <is>
          <t>Team Mobile: no deadline set</t>
        </is>
      </c>
    </row>
    <row r="19" ht="26" customHeight="1" s="5">
      <c r="A19" s="7" t="inlineStr">
        <is>
          <t>2415056</t>
        </is>
      </c>
      <c r="B19" s="8" t="inlineStr">
        <is>
          <t>Implementation of “Partner Offers” on PHS Mobile App</t>
        </is>
      </c>
      <c r="C19" s="7" t="inlineStr">
        <is>
          <t>MKT</t>
        </is>
      </c>
      <c r="D19" s="20" t="inlineStr">
        <is>
          <t>Low</t>
        </is>
      </c>
      <c r="E19" s="7" t="inlineStr">
        <is>
          <t>2 teams</t>
        </is>
      </c>
      <c r="F19" s="21" t="inlineStr">
        <is>
          <t>Todo</t>
        </is>
      </c>
      <c r="G19" s="17" t="inlineStr">
        <is>
          <t>Doing</t>
        </is>
      </c>
      <c r="H19" s="19" t="inlineStr">
        <is>
          <t>—</t>
        </is>
      </c>
      <c r="I19" s="17" t="inlineStr">
        <is>
          <t>In Progress</t>
        </is>
      </c>
      <c r="J19" s="8" t="inlineStr">
        <is>
          <t>Dev Team B: no deadline set</t>
        </is>
      </c>
    </row>
    <row r="20" ht="26" customHeight="1" s="5">
      <c r="A20" s="7" t="inlineStr">
        <is>
          <t>2540233</t>
        </is>
      </c>
      <c r="B20" s="8" t="inlineStr">
        <is>
          <t>FIFA WORLD CUP CHALLENGE 2026</t>
        </is>
      </c>
      <c r="C20" s="7" t="inlineStr">
        <is>
          <t>SS</t>
        </is>
      </c>
      <c r="D20" s="20" t="inlineStr">
        <is>
          <t>Low</t>
        </is>
      </c>
      <c r="E20" s="7" t="inlineStr">
        <is>
          <t>2 teams</t>
        </is>
      </c>
      <c r="F20" s="17" t="inlineStr">
        <is>
          <t>Doing</t>
        </is>
      </c>
      <c r="G20" s="21" t="inlineStr">
        <is>
          <t>Todo</t>
        </is>
      </c>
      <c r="H20" s="19" t="inlineStr">
        <is>
          <t>—</t>
        </is>
      </c>
      <c r="I20" s="17" t="inlineStr">
        <is>
          <t>In Progress</t>
        </is>
      </c>
      <c r="J20" s="8" t="inlineStr">
        <is>
          <t>Team Mobile: no deadline set</t>
        </is>
      </c>
    </row>
    <row r="21" ht="26" customHeight="1" s="5">
      <c r="A21" s="7" t="inlineStr">
        <is>
          <t>1722552</t>
        </is>
      </c>
      <c r="B21" s="8" t="inlineStr">
        <is>
          <t>Provide API data source for Transaction fluctuation function in Broker portal</t>
        </is>
      </c>
      <c r="C21" s="7" t="inlineStr">
        <is>
          <t>BMD</t>
        </is>
      </c>
      <c r="D21" s="15" t="inlineStr">
        <is>
          <t>Medium</t>
        </is>
      </c>
      <c r="E21" s="7" t="inlineStr">
        <is>
          <t>1 team</t>
        </is>
      </c>
      <c r="F21" s="19" t="inlineStr">
        <is>
          <t>—</t>
        </is>
      </c>
      <c r="G21" s="16" t="inlineStr">
        <is>
          <t>Done</t>
        </is>
      </c>
      <c r="H21" s="19" t="inlineStr">
        <is>
          <t>—</t>
        </is>
      </c>
      <c r="I21" s="16" t="inlineStr">
        <is>
          <t>Done</t>
        </is>
      </c>
      <c r="J21" s="8" t="inlineStr"/>
    </row>
    <row r="22" ht="26" customHeight="1" s="5">
      <c r="A22" s="7" t="inlineStr">
        <is>
          <t>2129248</t>
        </is>
      </c>
      <c r="B22" s="8" t="inlineStr">
        <is>
          <t>Add Special room information for Locations</t>
        </is>
      </c>
      <c r="C22" s="7" t="inlineStr">
        <is>
          <t>RMD</t>
        </is>
      </c>
      <c r="D22" s="15" t="inlineStr">
        <is>
          <t>Medium</t>
        </is>
      </c>
      <c r="E22" s="7" t="inlineStr">
        <is>
          <t>1 team</t>
        </is>
      </c>
      <c r="F22" s="19" t="inlineStr">
        <is>
          <t>—</t>
        </is>
      </c>
      <c r="G22" s="13" t="inlineStr">
        <is>
          <t>UAT</t>
        </is>
      </c>
      <c r="H22" s="19" t="inlineStr">
        <is>
          <t>—</t>
        </is>
      </c>
      <c r="I22" s="13" t="inlineStr">
        <is>
          <t>UAT</t>
        </is>
      </c>
      <c r="J22" s="8" t="inlineStr"/>
    </row>
    <row r="23" ht="26" customHeight="1" s="5">
      <c r="A23" s="7" t="inlineStr">
        <is>
          <t>2224919</t>
        </is>
      </c>
      <c r="B23" s="8" t="inlineStr">
        <is>
          <t>Feature to save multiple login accounts on a single device in the PHS Elite Trading app</t>
        </is>
      </c>
      <c r="C23" s="7" t="inlineStr">
        <is>
          <t>SS</t>
        </is>
      </c>
      <c r="D23" s="15" t="inlineStr">
        <is>
          <t>Medium</t>
        </is>
      </c>
      <c r="E23" s="7" t="inlineStr">
        <is>
          <t>1 team</t>
        </is>
      </c>
      <c r="F23" s="16" t="inlineStr">
        <is>
          <t>Done</t>
        </is>
      </c>
      <c r="G23" s="19" t="inlineStr">
        <is>
          <t>—</t>
        </is>
      </c>
      <c r="H23" s="19" t="inlineStr">
        <is>
          <t>—</t>
        </is>
      </c>
      <c r="I23" s="16" t="inlineStr">
        <is>
          <t>Done</t>
        </is>
      </c>
      <c r="J23" s="8" t="inlineStr"/>
    </row>
    <row r="24" ht="26" customHeight="1" s="5">
      <c r="A24" s="7" t="inlineStr">
        <is>
          <t>2247969</t>
        </is>
      </c>
      <c r="B24" s="8" t="inlineStr">
        <is>
          <t>Add PCA trading stock labels and implement stock filtering features on the PHS Elite app</t>
        </is>
      </c>
      <c r="C24" s="7" t="inlineStr">
        <is>
          <t>SS</t>
        </is>
      </c>
      <c r="D24" s="15" t="inlineStr">
        <is>
          <t>Medium</t>
        </is>
      </c>
      <c r="E24" s="7" t="inlineStr">
        <is>
          <t>1 team</t>
        </is>
      </c>
      <c r="F24" s="16" t="inlineStr">
        <is>
          <t>Done</t>
        </is>
      </c>
      <c r="G24" s="19" t="inlineStr">
        <is>
          <t>—</t>
        </is>
      </c>
      <c r="H24" s="19" t="inlineStr">
        <is>
          <t>—</t>
        </is>
      </c>
      <c r="I24" s="16" t="inlineStr">
        <is>
          <t>Done</t>
        </is>
      </c>
      <c r="J24" s="8" t="inlineStr"/>
    </row>
    <row r="25" ht="26" customHeight="1" s="5">
      <c r="A25" s="7" t="inlineStr">
        <is>
          <t>2285823</t>
        </is>
      </c>
      <c r="B25" s="8" t="inlineStr">
        <is>
          <t>THE LOGIN SCREEN GREETING MESSAGE</t>
        </is>
      </c>
      <c r="C25" s="7" t="inlineStr">
        <is>
          <t>IC</t>
        </is>
      </c>
      <c r="D25" s="15" t="inlineStr">
        <is>
          <t>Medium</t>
        </is>
      </c>
      <c r="E25" s="7" t="inlineStr">
        <is>
          <t>1 team</t>
        </is>
      </c>
      <c r="F25" s="16" t="inlineStr">
        <is>
          <t>Done</t>
        </is>
      </c>
      <c r="G25" s="19" t="inlineStr">
        <is>
          <t>—</t>
        </is>
      </c>
      <c r="H25" s="19" t="inlineStr">
        <is>
          <t>—</t>
        </is>
      </c>
      <c r="I25" s="16" t="inlineStr">
        <is>
          <t>Done</t>
        </is>
      </c>
      <c r="J25" s="8" t="inlineStr"/>
    </row>
    <row r="26" ht="26" customHeight="1" s="5">
      <c r="A26" s="7" t="inlineStr">
        <is>
          <t>2329940</t>
        </is>
      </c>
      <c r="B26" s="8" t="inlineStr">
        <is>
          <t>AI Chatbot Integration for Elite Mobile App &amp; Xpro Web Trading</t>
        </is>
      </c>
      <c r="C26" s="7" t="inlineStr">
        <is>
          <t>RS</t>
        </is>
      </c>
      <c r="D26" s="15" t="inlineStr">
        <is>
          <t>Medium</t>
        </is>
      </c>
      <c r="E26" s="7" t="inlineStr">
        <is>
          <t>1 team</t>
        </is>
      </c>
      <c r="F26" s="16" t="inlineStr">
        <is>
          <t>Done</t>
        </is>
      </c>
      <c r="G26" s="19" t="inlineStr">
        <is>
          <t>—</t>
        </is>
      </c>
      <c r="H26" s="19" t="inlineStr">
        <is>
          <t>—</t>
        </is>
      </c>
      <c r="I26" s="16" t="inlineStr">
        <is>
          <t>Done</t>
        </is>
      </c>
      <c r="J26" s="8" t="inlineStr"/>
    </row>
    <row r="27" ht="26" customHeight="1" s="5">
      <c r="A27" s="7" t="inlineStr">
        <is>
          <t>1923581</t>
        </is>
      </c>
      <c r="B27" s="8" t="inlineStr">
        <is>
          <t>Tool to control the number of positions that need to be closed out</t>
        </is>
      </c>
      <c r="C27" s="7" t="inlineStr">
        <is>
          <t>RMD</t>
        </is>
      </c>
      <c r="D27" s="20" t="inlineStr">
        <is>
          <t>Low</t>
        </is>
      </c>
      <c r="E27" s="7" t="inlineStr">
        <is>
          <t>1 team</t>
        </is>
      </c>
      <c r="F27" s="19" t="inlineStr">
        <is>
          <t>—</t>
        </is>
      </c>
      <c r="G27" s="14" t="inlineStr">
        <is>
          <t>Blocked</t>
        </is>
      </c>
      <c r="H27" s="19" t="inlineStr">
        <is>
          <t>—</t>
        </is>
      </c>
      <c r="I27" s="14" t="inlineStr">
        <is>
          <t>Blocked</t>
        </is>
      </c>
      <c r="J27" s="8" t="inlineStr"/>
    </row>
    <row r="28" ht="26" customHeight="1" s="5">
      <c r="A28" s="7" t="inlineStr">
        <is>
          <t>1954732</t>
        </is>
      </c>
      <c r="B28" s="8" t="inlineStr">
        <is>
          <t>HR report automation</t>
        </is>
      </c>
      <c r="C28" s="7" t="inlineStr">
        <is>
          <t>HR</t>
        </is>
      </c>
      <c r="D28" s="20" t="inlineStr">
        <is>
          <t>Low</t>
        </is>
      </c>
      <c r="E28" s="7" t="inlineStr">
        <is>
          <t>1 team</t>
        </is>
      </c>
      <c r="F28" s="19" t="inlineStr">
        <is>
          <t>—</t>
        </is>
      </c>
      <c r="G28" s="21" t="inlineStr">
        <is>
          <t>Todo</t>
        </is>
      </c>
      <c r="H28" s="19" t="inlineStr">
        <is>
          <t>—</t>
        </is>
      </c>
      <c r="I28" s="21" t="inlineStr">
        <is>
          <t>Not Started</t>
        </is>
      </c>
      <c r="J28" s="8" t="inlineStr"/>
    </row>
    <row r="29" ht="26" customHeight="1" s="5">
      <c r="A29" s="7" t="inlineStr">
        <is>
          <t>2065876</t>
        </is>
      </c>
      <c r="B29" s="8" t="inlineStr">
        <is>
          <t>Add a feature to view the registration/deletion history of beneficiary accounts (Same-owner transfer) on the Admin Customer Portal</t>
        </is>
      </c>
      <c r="C29" s="7" t="inlineStr">
        <is>
          <t>MSD</t>
        </is>
      </c>
      <c r="D29" s="20" t="inlineStr">
        <is>
          <t>Low</t>
        </is>
      </c>
      <c r="E29" s="7" t="inlineStr">
        <is>
          <t>1 team</t>
        </is>
      </c>
      <c r="F29" s="19" t="inlineStr">
        <is>
          <t>—</t>
        </is>
      </c>
      <c r="G29" s="16" t="inlineStr">
        <is>
          <t>Done</t>
        </is>
      </c>
      <c r="H29" s="19" t="inlineStr">
        <is>
          <t>—</t>
        </is>
      </c>
      <c r="I29" s="16" t="inlineStr">
        <is>
          <t>Done</t>
        </is>
      </c>
      <c r="J29" s="8" t="inlineStr"/>
    </row>
    <row r="30" ht="26" customHeight="1" s="5">
      <c r="A30" s="7" t="inlineStr">
        <is>
          <t>2077975</t>
        </is>
      </c>
      <c r="B30" s="8" t="inlineStr">
        <is>
          <t>Collaboration with Woori Bank Proposal</t>
        </is>
      </c>
      <c r="C30" s="7" t="inlineStr">
        <is>
          <t>MKT</t>
        </is>
      </c>
      <c r="D30" s="20" t="inlineStr">
        <is>
          <t>Low</t>
        </is>
      </c>
      <c r="E30" s="7" t="inlineStr">
        <is>
          <t>1 team</t>
        </is>
      </c>
      <c r="F30" s="16" t="inlineStr">
        <is>
          <t>Done</t>
        </is>
      </c>
      <c r="G30" s="19" t="inlineStr">
        <is>
          <t>—</t>
        </is>
      </c>
      <c r="H30" s="19" t="inlineStr">
        <is>
          <t>—</t>
        </is>
      </c>
      <c r="I30" s="16" t="inlineStr">
        <is>
          <t>Done</t>
        </is>
      </c>
      <c r="J30" s="8" t="inlineStr"/>
    </row>
    <row r="31" ht="26" customHeight="1" s="5">
      <c r="A31" s="7" t="inlineStr">
        <is>
          <t>2106995</t>
        </is>
      </c>
      <c r="B31" s="8" t="inlineStr">
        <is>
          <t>Add put-through order trading feature on PHS ELITE XPRO</t>
        </is>
      </c>
      <c r="C31" s="7" t="inlineStr">
        <is>
          <t>DTD</t>
        </is>
      </c>
      <c r="D31" s="20" t="inlineStr">
        <is>
          <t>Low</t>
        </is>
      </c>
      <c r="E31" s="7" t="inlineStr">
        <is>
          <t>1 team</t>
        </is>
      </c>
      <c r="F31" s="19" t="inlineStr">
        <is>
          <t>—</t>
        </is>
      </c>
      <c r="G31" s="19" t="inlineStr">
        <is>
          <t>—</t>
        </is>
      </c>
      <c r="H31" s="13" t="inlineStr">
        <is>
          <t>UAT</t>
        </is>
      </c>
      <c r="I31" s="13" t="inlineStr">
        <is>
          <t>UAT</t>
        </is>
      </c>
      <c r="J31" s="8" t="inlineStr"/>
    </row>
    <row r="32" ht="26" customHeight="1" s="5">
      <c r="A32" s="7" t="inlineStr">
        <is>
          <t>2174942</t>
        </is>
      </c>
      <c r="B32" s="8" t="inlineStr">
        <is>
          <t>Automation Test Proposal</t>
        </is>
      </c>
      <c r="C32" s="7" t="inlineStr">
        <is>
          <t>MSD</t>
        </is>
      </c>
      <c r="D32" s="20" t="inlineStr">
        <is>
          <t>Low</t>
        </is>
      </c>
      <c r="E32" s="7" t="inlineStr">
        <is>
          <t>1 team</t>
        </is>
      </c>
      <c r="F32" s="14" t="inlineStr">
        <is>
          <t>Blocked</t>
        </is>
      </c>
      <c r="G32" s="19" t="inlineStr">
        <is>
          <t>—</t>
        </is>
      </c>
      <c r="H32" s="19" t="inlineStr">
        <is>
          <t>—</t>
        </is>
      </c>
      <c r="I32" s="14" t="inlineStr">
        <is>
          <t>Blocked</t>
        </is>
      </c>
      <c r="J32" s="8" t="inlineStr"/>
    </row>
    <row r="33" ht="26" customHeight="1" s="5">
      <c r="A33" s="7" t="inlineStr">
        <is>
          <t>2185583</t>
        </is>
      </c>
      <c r="B33" s="8" t="inlineStr">
        <is>
          <t>Enhancement of the Smart OTP Function on the PHS Elite Trading Application</t>
        </is>
      </c>
      <c r="C33" s="7" t="inlineStr">
        <is>
          <t>IT</t>
        </is>
      </c>
      <c r="D33" s="20" t="inlineStr">
        <is>
          <t>Low</t>
        </is>
      </c>
      <c r="E33" s="7" t="inlineStr">
        <is>
          <t>1 team</t>
        </is>
      </c>
      <c r="F33" s="16" t="inlineStr">
        <is>
          <t>Done</t>
        </is>
      </c>
      <c r="G33" s="19" t="inlineStr">
        <is>
          <t>—</t>
        </is>
      </c>
      <c r="H33" s="19" t="inlineStr">
        <is>
          <t>—</t>
        </is>
      </c>
      <c r="I33" s="16" t="inlineStr">
        <is>
          <t>Done</t>
        </is>
      </c>
      <c r="J33" s="8" t="inlineStr"/>
    </row>
    <row r="34" ht="26" customHeight="1" s="5">
      <c r="A34" s="7" t="inlineStr">
        <is>
          <t>2185585</t>
        </is>
      </c>
      <c r="B34" s="8" t="inlineStr">
        <is>
          <t>Add the Reward Redemption feature to the PHS Elite Trading application</t>
        </is>
      </c>
      <c r="C34" s="7" t="inlineStr">
        <is>
          <t>IT</t>
        </is>
      </c>
      <c r="D34" s="20" t="inlineStr">
        <is>
          <t>Low</t>
        </is>
      </c>
      <c r="E34" s="7" t="inlineStr">
        <is>
          <t>1 team</t>
        </is>
      </c>
      <c r="F34" s="16" t="inlineStr">
        <is>
          <t>Done</t>
        </is>
      </c>
      <c r="G34" s="19" t="inlineStr">
        <is>
          <t>—</t>
        </is>
      </c>
      <c r="H34" s="19" t="inlineStr">
        <is>
          <t>—</t>
        </is>
      </c>
      <c r="I34" s="16" t="inlineStr">
        <is>
          <t>Done</t>
        </is>
      </c>
      <c r="J34" s="8" t="inlineStr"/>
    </row>
    <row r="35" ht="26" customHeight="1" s="5">
      <c r="A35" s="7" t="inlineStr">
        <is>
          <t>2196774</t>
        </is>
      </c>
      <c r="B35" s="8" t="inlineStr">
        <is>
          <t>Proposed modifications of Mobile UI and middleware modules to facilitate Elite Seeds sub-account deployment</t>
        </is>
      </c>
      <c r="C35" s="7" t="inlineStr">
        <is>
          <t>INB</t>
        </is>
      </c>
      <c r="D35" s="20" t="inlineStr">
        <is>
          <t>Low</t>
        </is>
      </c>
      <c r="E35" s="7" t="inlineStr">
        <is>
          <t>1 team</t>
        </is>
      </c>
      <c r="F35" s="16" t="inlineStr">
        <is>
          <t>Done</t>
        </is>
      </c>
      <c r="G35" s="19" t="inlineStr">
        <is>
          <t>—</t>
        </is>
      </c>
      <c r="H35" s="19" t="inlineStr">
        <is>
          <t>—</t>
        </is>
      </c>
      <c r="I35" s="16" t="inlineStr">
        <is>
          <t>Done</t>
        </is>
      </c>
      <c r="J35" s="8" t="inlineStr"/>
    </row>
    <row r="36" ht="26" customHeight="1" s="5">
      <c r="A36" s="7" t="inlineStr">
        <is>
          <t>2197982</t>
        </is>
      </c>
      <c r="B36" s="8" t="inlineStr">
        <is>
          <t>Research Landing Page: All Features &amp; Phase 1 Execution</t>
        </is>
      </c>
      <c r="C36" s="7" t="inlineStr">
        <is>
          <t>RS</t>
        </is>
      </c>
      <c r="D36" s="20" t="inlineStr">
        <is>
          <t>Low</t>
        </is>
      </c>
      <c r="E36" s="7" t="inlineStr">
        <is>
          <t>1 team</t>
        </is>
      </c>
      <c r="F36" s="19" t="inlineStr">
        <is>
          <t>—</t>
        </is>
      </c>
      <c r="G36" s="16" t="inlineStr">
        <is>
          <t>Done</t>
        </is>
      </c>
      <c r="H36" s="19" t="inlineStr">
        <is>
          <t>—</t>
        </is>
      </c>
      <c r="I36" s="16" t="inlineStr">
        <is>
          <t>Done</t>
        </is>
      </c>
      <c r="J36" s="8" t="inlineStr"/>
    </row>
    <row r="37" ht="26" customHeight="1" s="5">
      <c r="A37" s="7" t="inlineStr">
        <is>
          <t>2212813</t>
        </is>
      </c>
      <c r="B37" s="8" t="inlineStr">
        <is>
          <t>Derivatives Order Placement UI Enhancement</t>
        </is>
      </c>
      <c r="C37" s="7" t="inlineStr">
        <is>
          <t>SS</t>
        </is>
      </c>
      <c r="D37" s="20" t="inlineStr">
        <is>
          <t>Low</t>
        </is>
      </c>
      <c r="E37" s="7" t="inlineStr">
        <is>
          <t>1 team</t>
        </is>
      </c>
      <c r="F37" s="16" t="inlineStr">
        <is>
          <t>Done</t>
        </is>
      </c>
      <c r="G37" s="19" t="inlineStr">
        <is>
          <t>—</t>
        </is>
      </c>
      <c r="H37" s="19" t="inlineStr">
        <is>
          <t>—</t>
        </is>
      </c>
      <c r="I37" s="16" t="inlineStr">
        <is>
          <t>Done</t>
        </is>
      </c>
      <c r="J37" s="8" t="inlineStr"/>
    </row>
    <row r="38" ht="26" customHeight="1" s="5">
      <c r="A38" s="7" t="inlineStr">
        <is>
          <t>2213580</t>
        </is>
      </c>
      <c r="B38" s="8" t="inlineStr">
        <is>
          <t>Enhancement Successful Reward Redemption Notifications via Email and the PHS Elite Trading App</t>
        </is>
      </c>
      <c r="C38" s="7" t="inlineStr">
        <is>
          <t>CCC</t>
        </is>
      </c>
      <c r="D38" s="20" t="inlineStr">
        <is>
          <t>Low</t>
        </is>
      </c>
      <c r="E38" s="7" t="inlineStr">
        <is>
          <t>1 team</t>
        </is>
      </c>
      <c r="F38" s="19" t="inlineStr">
        <is>
          <t>—</t>
        </is>
      </c>
      <c r="G38" s="16" t="inlineStr">
        <is>
          <t>Done</t>
        </is>
      </c>
      <c r="H38" s="19" t="inlineStr">
        <is>
          <t>—</t>
        </is>
      </c>
      <c r="I38" s="16" t="inlineStr">
        <is>
          <t>Done</t>
        </is>
      </c>
      <c r="J38" s="8" t="inlineStr"/>
    </row>
    <row r="39" ht="26" customHeight="1" s="5">
      <c r="A39" s="7" t="inlineStr">
        <is>
          <t>2242463</t>
        </is>
      </c>
      <c r="B39" s="8" t="inlineStr">
        <is>
          <t>PROMOTION: HORSE YEAR FORTUNE 2026</t>
        </is>
      </c>
      <c r="C39" s="7" t="inlineStr">
        <is>
          <t>MSD</t>
        </is>
      </c>
      <c r="D39" s="20" t="inlineStr">
        <is>
          <t>Low</t>
        </is>
      </c>
      <c r="E39" s="7" t="inlineStr">
        <is>
          <t>1 team</t>
        </is>
      </c>
      <c r="F39" s="16" t="inlineStr">
        <is>
          <t>Done</t>
        </is>
      </c>
      <c r="G39" s="19" t="inlineStr">
        <is>
          <t>—</t>
        </is>
      </c>
      <c r="H39" s="19" t="inlineStr">
        <is>
          <t>—</t>
        </is>
      </c>
      <c r="I39" s="16" t="inlineStr">
        <is>
          <t>Done</t>
        </is>
      </c>
      <c r="J39" s="8" t="inlineStr"/>
    </row>
    <row r="40" ht="26" customHeight="1" s="5">
      <c r="A40" s="7" t="inlineStr">
        <is>
          <t>2246969</t>
        </is>
      </c>
      <c r="B40" s="8" t="inlineStr">
        <is>
          <t>Add PCA trading stock labels and implement stock filtering features on the PHS Elite app</t>
        </is>
      </c>
      <c r="C40" s="7" t="inlineStr">
        <is>
          <t>DTD</t>
        </is>
      </c>
      <c r="D40" s="20" t="inlineStr">
        <is>
          <t>Low</t>
        </is>
      </c>
      <c r="E40" s="7" t="inlineStr">
        <is>
          <t>1 team</t>
        </is>
      </c>
      <c r="F40" s="19" t="inlineStr">
        <is>
          <t>—</t>
        </is>
      </c>
      <c r="G40" s="19" t="inlineStr">
        <is>
          <t>—</t>
        </is>
      </c>
      <c r="H40" s="16" t="inlineStr">
        <is>
          <t>Done</t>
        </is>
      </c>
      <c r="I40" s="16" t="inlineStr">
        <is>
          <t>Done</t>
        </is>
      </c>
      <c r="J40" s="8" t="inlineStr"/>
    </row>
    <row r="41" ht="26" customHeight="1" s="5">
      <c r="A41" s="7" t="inlineStr">
        <is>
          <t>2291957</t>
        </is>
      </c>
      <c r="B41" s="8" t="inlineStr">
        <is>
          <t>Update the account opening function on the PHS Elite app login screen</t>
        </is>
      </c>
      <c r="C41" s="7" t="inlineStr">
        <is>
          <t>IC</t>
        </is>
      </c>
      <c r="D41" s="20" t="inlineStr">
        <is>
          <t>Low</t>
        </is>
      </c>
      <c r="E41" s="7" t="inlineStr">
        <is>
          <t>1 team</t>
        </is>
      </c>
      <c r="F41" s="17" t="inlineStr">
        <is>
          <t>Doing</t>
        </is>
      </c>
      <c r="G41" s="19" t="inlineStr">
        <is>
          <t>—</t>
        </is>
      </c>
      <c r="H41" s="19" t="inlineStr">
        <is>
          <t>—</t>
        </is>
      </c>
      <c r="I41" s="17" t="inlineStr">
        <is>
          <t>In Progress</t>
        </is>
      </c>
      <c r="J41" s="8" t="inlineStr">
        <is>
          <t>Team Mobile: no deadline set</t>
        </is>
      </c>
    </row>
    <row r="42" ht="26" customHeight="1" s="5">
      <c r="A42" s="7" t="inlineStr">
        <is>
          <t>2302697</t>
        </is>
      </c>
      <c r="B42" s="8" t="inlineStr">
        <is>
          <t>Add content regarding personal data protection</t>
        </is>
      </c>
      <c r="C42" s="7" t="inlineStr">
        <is>
          <t>LG</t>
        </is>
      </c>
      <c r="D42" s="20" t="inlineStr">
        <is>
          <t>Low</t>
        </is>
      </c>
      <c r="E42" s="7" t="inlineStr">
        <is>
          <t>1 team</t>
        </is>
      </c>
      <c r="F42" s="22" t="inlineStr">
        <is>
          <t>Rejected</t>
        </is>
      </c>
      <c r="G42" s="19" t="inlineStr">
        <is>
          <t>—</t>
        </is>
      </c>
      <c r="H42" s="19" t="inlineStr">
        <is>
          <t>—</t>
        </is>
      </c>
      <c r="I42" s="22" t="inlineStr">
        <is>
          <t>Rejected</t>
        </is>
      </c>
      <c r="J42" s="8" t="inlineStr"/>
    </row>
    <row r="43" ht="26" customHeight="1" s="5">
      <c r="A43" s="7" t="inlineStr">
        <is>
          <t>2306127</t>
        </is>
      </c>
      <c r="B43" s="8" t="inlineStr">
        <is>
          <t>INB_ Proposal to implement the mobile app notifications for Elite Seeds</t>
        </is>
      </c>
      <c r="C43" s="7" t="inlineStr"/>
      <c r="D43" s="20" t="inlineStr">
        <is>
          <t>Low</t>
        </is>
      </c>
      <c r="E43" s="7" t="inlineStr">
        <is>
          <t>1 team</t>
        </is>
      </c>
      <c r="F43" s="16" t="inlineStr">
        <is>
          <t>Done</t>
        </is>
      </c>
      <c r="G43" s="19" t="inlineStr">
        <is>
          <t>—</t>
        </is>
      </c>
      <c r="H43" s="19" t="inlineStr">
        <is>
          <t>—</t>
        </is>
      </c>
      <c r="I43" s="16" t="inlineStr">
        <is>
          <t>Done</t>
        </is>
      </c>
      <c r="J43" s="8" t="inlineStr"/>
    </row>
    <row r="44" ht="26" customHeight="1" s="5">
      <c r="A44" s="7" t="inlineStr">
        <is>
          <t>2307583</t>
        </is>
      </c>
      <c r="B44" s="8" t="inlineStr">
        <is>
          <t>PHS BondTerm – Fixed-Tenor Bond Investment Package (via Listed Bonds</t>
        </is>
      </c>
      <c r="C44" s="7" t="inlineStr">
        <is>
          <t>LG</t>
        </is>
      </c>
      <c r="D44" s="20" t="inlineStr">
        <is>
          <t>Low</t>
        </is>
      </c>
      <c r="E44" s="7" t="inlineStr">
        <is>
          <t>1 team</t>
        </is>
      </c>
      <c r="F44" s="21" t="inlineStr">
        <is>
          <t>Todo</t>
        </is>
      </c>
      <c r="G44" s="19" t="inlineStr">
        <is>
          <t>—</t>
        </is>
      </c>
      <c r="H44" s="19" t="inlineStr">
        <is>
          <t>—</t>
        </is>
      </c>
      <c r="I44" s="21" t="inlineStr">
        <is>
          <t>Not Started</t>
        </is>
      </c>
      <c r="J44" s="8" t="inlineStr"/>
    </row>
    <row r="45" ht="26" customHeight="1" s="5">
      <c r="A45" s="7" t="inlineStr">
        <is>
          <t>2317336</t>
        </is>
      </c>
      <c r="B45" s="8" t="inlineStr">
        <is>
          <t>Proposal to implement an automated cash dividend reinvestment service (Auto-DRIP) on PHS Elite app</t>
        </is>
      </c>
      <c r="C45" s="7" t="inlineStr">
        <is>
          <t>AC</t>
        </is>
      </c>
      <c r="D45" s="20" t="inlineStr">
        <is>
          <t>Low</t>
        </is>
      </c>
      <c r="E45" s="7" t="inlineStr">
        <is>
          <t>1 team</t>
        </is>
      </c>
      <c r="F45" s="17" t="inlineStr">
        <is>
          <t>Doing</t>
        </is>
      </c>
      <c r="G45" s="19" t="inlineStr">
        <is>
          <t>—</t>
        </is>
      </c>
      <c r="H45" s="19" t="inlineStr">
        <is>
          <t>—</t>
        </is>
      </c>
      <c r="I45" s="17" t="inlineStr">
        <is>
          <t>In Progress</t>
        </is>
      </c>
      <c r="J45" s="8" t="inlineStr">
        <is>
          <t>Team Mobile: no deadline set</t>
        </is>
      </c>
    </row>
    <row r="46" ht="26" customHeight="1" s="5">
      <c r="A46" s="7" t="inlineStr">
        <is>
          <t>2340654</t>
        </is>
      </c>
      <c r="B46" s="8" t="inlineStr">
        <is>
          <t>Updated payment order form of IVB</t>
        </is>
      </c>
      <c r="C46" s="7" t="inlineStr">
        <is>
          <t>FN</t>
        </is>
      </c>
      <c r="D46" s="20" t="inlineStr">
        <is>
          <t>Low</t>
        </is>
      </c>
      <c r="E46" s="7" t="inlineStr">
        <is>
          <t>1 team</t>
        </is>
      </c>
      <c r="F46" s="19" t="inlineStr">
        <is>
          <t>—</t>
        </is>
      </c>
      <c r="G46" s="19" t="inlineStr">
        <is>
          <t>—</t>
        </is>
      </c>
      <c r="H46" s="16" t="inlineStr">
        <is>
          <t>Done</t>
        </is>
      </c>
      <c r="I46" s="16" t="inlineStr">
        <is>
          <t>Done</t>
        </is>
      </c>
      <c r="J46" s="8" t="inlineStr"/>
    </row>
    <row r="47" ht="26" customHeight="1" s="5">
      <c r="A47" s="7" t="inlineStr">
        <is>
          <t>2372910</t>
        </is>
      </c>
      <c r="B47" s="8" t="inlineStr">
        <is>
          <t>[RESEARCH] Permission to get API data from OpenAcc web</t>
        </is>
      </c>
      <c r="C47" s="7" t="inlineStr"/>
      <c r="D47" s="20" t="inlineStr">
        <is>
          <t>Low</t>
        </is>
      </c>
      <c r="E47" s="7" t="inlineStr">
        <is>
          <t>1 team</t>
        </is>
      </c>
      <c r="F47" s="16" t="inlineStr">
        <is>
          <t>Done</t>
        </is>
      </c>
      <c r="G47" s="19" t="inlineStr">
        <is>
          <t>—</t>
        </is>
      </c>
      <c r="H47" s="19" t="inlineStr">
        <is>
          <t>—</t>
        </is>
      </c>
      <c r="I47" s="16" t="inlineStr">
        <is>
          <t>Done</t>
        </is>
      </c>
      <c r="J47" s="8" t="inlineStr"/>
    </row>
    <row r="48" ht="26" customHeight="1" s="5">
      <c r="A48" s="7" t="inlineStr">
        <is>
          <t>2376660</t>
        </is>
      </c>
      <c r="B48" s="8" t="inlineStr">
        <is>
          <t>Assessment of Requirements from RAR Center for the VNeID Integration into the eKYC Account Opening Process Project</t>
        </is>
      </c>
      <c r="C48" s="7" t="inlineStr">
        <is>
          <t>CCC</t>
        </is>
      </c>
      <c r="D48" s="20" t="inlineStr">
        <is>
          <t>Low</t>
        </is>
      </c>
      <c r="E48" s="7" t="inlineStr">
        <is>
          <t>1 team</t>
        </is>
      </c>
      <c r="F48" s="21" t="inlineStr">
        <is>
          <t>Todo</t>
        </is>
      </c>
      <c r="G48" s="19" t="inlineStr">
        <is>
          <t>—</t>
        </is>
      </c>
      <c r="H48" s="19" t="inlineStr">
        <is>
          <t>—</t>
        </is>
      </c>
      <c r="I48" s="21" t="inlineStr">
        <is>
          <t>Not Started</t>
        </is>
      </c>
      <c r="J48" s="8" t="inlineStr"/>
    </row>
    <row r="49" ht="26" customHeight="1" s="5">
      <c r="A49" s="7" t="inlineStr">
        <is>
          <t>2385402</t>
        </is>
      </c>
      <c r="B49" s="8" t="inlineStr">
        <is>
          <t>Create popup on web phs.vn to promote for landing page PHS 20 Years Anniversary</t>
        </is>
      </c>
      <c r="C49" s="7" t="inlineStr">
        <is>
          <t>MKT</t>
        </is>
      </c>
      <c r="D49" s="20" t="inlineStr">
        <is>
          <t>Low</t>
        </is>
      </c>
      <c r="E49" s="7" t="inlineStr">
        <is>
          <t>1 team</t>
        </is>
      </c>
      <c r="F49" s="19" t="inlineStr">
        <is>
          <t>—</t>
        </is>
      </c>
      <c r="G49" s="16" t="inlineStr">
        <is>
          <t>Done</t>
        </is>
      </c>
      <c r="H49" s="19" t="inlineStr">
        <is>
          <t>—</t>
        </is>
      </c>
      <c r="I49" s="16" t="inlineStr">
        <is>
          <t>Done</t>
        </is>
      </c>
      <c r="J49" s="8" t="inlineStr"/>
    </row>
    <row r="50" ht="26" customHeight="1" s="5">
      <c r="A50" s="7" t="inlineStr">
        <is>
          <t>2397922</t>
        </is>
      </c>
      <c r="B50" s="8" t="inlineStr">
        <is>
          <t>Enhance filter for Elite Fund</t>
        </is>
      </c>
      <c r="C50" s="7" t="inlineStr">
        <is>
          <t>LG</t>
        </is>
      </c>
      <c r="D50" s="20" t="inlineStr">
        <is>
          <t>Low</t>
        </is>
      </c>
      <c r="E50" s="7" t="inlineStr">
        <is>
          <t>1 team</t>
        </is>
      </c>
      <c r="F50" s="21" t="inlineStr">
        <is>
          <t>Todo</t>
        </is>
      </c>
      <c r="G50" s="19" t="inlineStr">
        <is>
          <t>—</t>
        </is>
      </c>
      <c r="H50" s="19" t="inlineStr">
        <is>
          <t>—</t>
        </is>
      </c>
      <c r="I50" s="21" t="inlineStr">
        <is>
          <t>Not Started</t>
        </is>
      </c>
      <c r="J50" s="8" t="inlineStr"/>
    </row>
    <row r="51" ht="26" customHeight="1" s="5">
      <c r="A51" s="7" t="inlineStr">
        <is>
          <t>2400512</t>
        </is>
      </c>
      <c r="B51" s="8" t="inlineStr">
        <is>
          <t>Upgrade the iOS and Android SDKs in accordance with the requirements of Apple and Google</t>
        </is>
      </c>
      <c r="C51" s="7" t="inlineStr"/>
      <c r="D51" s="20" t="inlineStr">
        <is>
          <t>Low</t>
        </is>
      </c>
      <c r="E51" s="7" t="inlineStr">
        <is>
          <t>1 team</t>
        </is>
      </c>
      <c r="F51" s="16" t="inlineStr">
        <is>
          <t>Done</t>
        </is>
      </c>
      <c r="G51" s="19" t="inlineStr">
        <is>
          <t>—</t>
        </is>
      </c>
      <c r="H51" s="19" t="inlineStr">
        <is>
          <t>—</t>
        </is>
      </c>
      <c r="I51" s="16" t="inlineStr">
        <is>
          <t>Done</t>
        </is>
      </c>
      <c r="J51" s="8" t="inlineStr"/>
    </row>
    <row r="52" ht="26" customHeight="1" s="5">
      <c r="A52" s="7" t="inlineStr">
        <is>
          <t>2403987</t>
        </is>
      </c>
      <c r="B52" s="8" t="inlineStr">
        <is>
          <t>Loyalty System - Phase 1</t>
        </is>
      </c>
      <c r="C52" s="7" t="inlineStr">
        <is>
          <t>SS</t>
        </is>
      </c>
      <c r="D52" s="20" t="inlineStr">
        <is>
          <t>Low</t>
        </is>
      </c>
      <c r="E52" s="7" t="inlineStr">
        <is>
          <t>1 team</t>
        </is>
      </c>
      <c r="F52" s="19" t="inlineStr">
        <is>
          <t>—</t>
        </is>
      </c>
      <c r="G52" s="17" t="inlineStr">
        <is>
          <t>Doing</t>
        </is>
      </c>
      <c r="H52" s="19" t="inlineStr">
        <is>
          <t>—</t>
        </is>
      </c>
      <c r="I52" s="17" t="inlineStr">
        <is>
          <t>In Progress</t>
        </is>
      </c>
      <c r="J52" s="8" t="inlineStr">
        <is>
          <t>Dev Team B: no deadline set</t>
        </is>
      </c>
    </row>
    <row r="53" ht="26" customHeight="1" s="5">
      <c r="A53" s="7" t="inlineStr">
        <is>
          <t>2423945</t>
        </is>
      </c>
      <c r="B53" s="8" t="inlineStr">
        <is>
          <t>Enhance the promotional declaration feature on the Admin Portal</t>
        </is>
      </c>
      <c r="C53" s="7" t="inlineStr">
        <is>
          <t>SS</t>
        </is>
      </c>
      <c r="D53" s="20" t="inlineStr">
        <is>
          <t>Low</t>
        </is>
      </c>
      <c r="E53" s="7" t="inlineStr">
        <is>
          <t>1 team</t>
        </is>
      </c>
      <c r="F53" s="19" t="inlineStr">
        <is>
          <t>—</t>
        </is>
      </c>
      <c r="G53" s="16" t="inlineStr">
        <is>
          <t>Done</t>
        </is>
      </c>
      <c r="H53" s="19" t="inlineStr">
        <is>
          <t>—</t>
        </is>
      </c>
      <c r="I53" s="16" t="inlineStr">
        <is>
          <t>Done</t>
        </is>
      </c>
      <c r="J53" s="8" t="inlineStr"/>
    </row>
    <row r="54" ht="26" customHeight="1" s="5">
      <c r="A54" s="7" t="inlineStr">
        <is>
          <t>2425861</t>
        </is>
      </c>
      <c r="B54" s="8" t="inlineStr">
        <is>
          <t>Research Portal: Phase 2</t>
        </is>
      </c>
      <c r="C54" s="7" t="inlineStr">
        <is>
          <t>RS</t>
        </is>
      </c>
      <c r="D54" s="20" t="inlineStr">
        <is>
          <t>Low</t>
        </is>
      </c>
      <c r="E54" s="7" t="inlineStr">
        <is>
          <t>1 team</t>
        </is>
      </c>
      <c r="F54" s="19" t="inlineStr">
        <is>
          <t>—</t>
        </is>
      </c>
      <c r="G54" s="21" t="inlineStr">
        <is>
          <t>Todo</t>
        </is>
      </c>
      <c r="H54" s="19" t="inlineStr">
        <is>
          <t>—</t>
        </is>
      </c>
      <c r="I54" s="21" t="inlineStr">
        <is>
          <t>Not Started</t>
        </is>
      </c>
      <c r="J54" s="8" t="inlineStr"/>
    </row>
    <row r="55" ht="26" customHeight="1" s="5">
      <c r="A55" s="7" t="inlineStr">
        <is>
          <t>2426812</t>
        </is>
      </c>
      <c r="B55" s="8" t="inlineStr">
        <is>
          <t>Merge CCC &amp; RS chatbot into one Master Client Chatbot</t>
        </is>
      </c>
      <c r="C55" s="7" t="inlineStr">
        <is>
          <t>MKT</t>
        </is>
      </c>
      <c r="D55" s="20" t="inlineStr">
        <is>
          <t>Low</t>
        </is>
      </c>
      <c r="E55" s="7" t="inlineStr">
        <is>
          <t>1 team</t>
        </is>
      </c>
      <c r="F55" s="19" t="inlineStr">
        <is>
          <t>—</t>
        </is>
      </c>
      <c r="G55" s="17" t="inlineStr">
        <is>
          <t>Doing</t>
        </is>
      </c>
      <c r="H55" s="19" t="inlineStr">
        <is>
          <t>—</t>
        </is>
      </c>
      <c r="I55" s="17" t="inlineStr">
        <is>
          <t>In Progress</t>
        </is>
      </c>
      <c r="J55" s="8" t="inlineStr">
        <is>
          <t>Dev Team B: no deadline set</t>
        </is>
      </c>
    </row>
    <row r="56" ht="26" customHeight="1" s="5">
      <c r="A56" s="7" t="inlineStr">
        <is>
          <t>2437753</t>
        </is>
      </c>
      <c r="B56" s="8" t="inlineStr">
        <is>
          <t>AF &amp; LN Duplication &amp; Bulk Import Function</t>
        </is>
      </c>
      <c r="C56" s="7" t="inlineStr">
        <is>
          <t>SS</t>
        </is>
      </c>
      <c r="D56" s="20" t="inlineStr">
        <is>
          <t>Low</t>
        </is>
      </c>
      <c r="E56" s="7" t="inlineStr">
        <is>
          <t>1 team</t>
        </is>
      </c>
      <c r="F56" s="19" t="inlineStr">
        <is>
          <t>—</t>
        </is>
      </c>
      <c r="G56" s="19" t="inlineStr">
        <is>
          <t>—</t>
        </is>
      </c>
      <c r="H56" s="17" t="inlineStr">
        <is>
          <t>Doing</t>
        </is>
      </c>
      <c r="I56" s="17" t="inlineStr">
        <is>
          <t>In Progress</t>
        </is>
      </c>
      <c r="J56" s="8" t="inlineStr">
        <is>
          <t>MW Team: no deadline set</t>
        </is>
      </c>
    </row>
    <row r="57" ht="26" customHeight="1" s="5">
      <c r="A57" s="7" t="inlineStr">
        <is>
          <t>2438262</t>
        </is>
      </c>
      <c r="B57" s="8" t="inlineStr">
        <is>
          <t>_Goal-based Tool</t>
        </is>
      </c>
      <c r="C57" s="7" t="inlineStr">
        <is>
          <t>LG</t>
        </is>
      </c>
      <c r="D57" s="20" t="inlineStr">
        <is>
          <t>Low</t>
        </is>
      </c>
      <c r="E57" s="7" t="inlineStr">
        <is>
          <t>1 team</t>
        </is>
      </c>
      <c r="F57" s="21" t="inlineStr">
        <is>
          <t>Todo</t>
        </is>
      </c>
      <c r="G57" s="19" t="inlineStr">
        <is>
          <t>—</t>
        </is>
      </c>
      <c r="H57" s="19" t="inlineStr">
        <is>
          <t>—</t>
        </is>
      </c>
      <c r="I57" s="21" t="inlineStr">
        <is>
          <t>Not Started</t>
        </is>
      </c>
      <c r="J57" s="8" t="inlineStr"/>
    </row>
    <row r="58" ht="26" customHeight="1" s="5">
      <c r="A58" s="7" t="inlineStr">
        <is>
          <t>2443571</t>
        </is>
      </c>
      <c r="B58" s="8" t="inlineStr">
        <is>
          <t>Restrict using PHS email address for securities transactions</t>
        </is>
      </c>
      <c r="C58" s="7" t="inlineStr">
        <is>
          <t>SS</t>
        </is>
      </c>
      <c r="D58" s="20" t="inlineStr">
        <is>
          <t>Low</t>
        </is>
      </c>
      <c r="E58" s="7" t="inlineStr">
        <is>
          <t>1 team</t>
        </is>
      </c>
      <c r="F58" s="19" t="inlineStr">
        <is>
          <t>—</t>
        </is>
      </c>
      <c r="G58" s="19" t="inlineStr">
        <is>
          <t>—</t>
        </is>
      </c>
      <c r="H58" s="16" t="inlineStr">
        <is>
          <t>Done</t>
        </is>
      </c>
      <c r="I58" s="16" t="inlineStr">
        <is>
          <t>Done</t>
        </is>
      </c>
      <c r="J58" s="8" t="inlineStr"/>
    </row>
    <row r="59" ht="26" customHeight="1" s="5">
      <c r="A59" s="7" t="inlineStr">
        <is>
          <t>2446191</t>
        </is>
      </c>
      <c r="B59" s="8" t="inlineStr">
        <is>
          <t>VCF0051 – Adjust Report Extraction Conditions</t>
        </is>
      </c>
      <c r="C59" s="7" t="inlineStr">
        <is>
          <t>MSD</t>
        </is>
      </c>
      <c r="D59" s="20" t="inlineStr">
        <is>
          <t>Low</t>
        </is>
      </c>
      <c r="E59" s="7" t="inlineStr">
        <is>
          <t>1 team</t>
        </is>
      </c>
      <c r="F59" s="19" t="inlineStr">
        <is>
          <t>—</t>
        </is>
      </c>
      <c r="G59" s="19" t="inlineStr">
        <is>
          <t>—</t>
        </is>
      </c>
      <c r="H59" s="16" t="inlineStr">
        <is>
          <t>Done</t>
        </is>
      </c>
      <c r="I59" s="16" t="inlineStr">
        <is>
          <t>Done</t>
        </is>
      </c>
      <c r="J59" s="8" t="inlineStr"/>
    </row>
    <row r="60" ht="26" customHeight="1" s="5">
      <c r="A60" s="7" t="inlineStr">
        <is>
          <t>2482578</t>
        </is>
      </c>
      <c r="B60" s="8" t="inlineStr">
        <is>
          <t>Upgrade the QR Code Deposit Function on the PHS App</t>
        </is>
      </c>
      <c r="C60" s="7" t="inlineStr">
        <is>
          <t>AC</t>
        </is>
      </c>
      <c r="D60" s="20" t="inlineStr">
        <is>
          <t>Low</t>
        </is>
      </c>
      <c r="E60" s="7" t="inlineStr">
        <is>
          <t>1 team</t>
        </is>
      </c>
      <c r="F60" s="21" t="inlineStr">
        <is>
          <t>Todo</t>
        </is>
      </c>
      <c r="G60" s="19" t="inlineStr">
        <is>
          <t>—</t>
        </is>
      </c>
      <c r="H60" s="19" t="inlineStr">
        <is>
          <t>—</t>
        </is>
      </c>
      <c r="I60" s="21" t="inlineStr">
        <is>
          <t>Not Started</t>
        </is>
      </c>
      <c r="J60" s="8" t="inlineStr"/>
    </row>
    <row r="61" ht="26" customHeight="1" s="5">
      <c r="A61" s="7" t="inlineStr">
        <is>
          <t>2506884</t>
        </is>
      </c>
      <c r="B61" s="8" t="inlineStr">
        <is>
          <t>Touchpoint for products</t>
        </is>
      </c>
      <c r="C61" s="7" t="inlineStr">
        <is>
          <t>LG</t>
        </is>
      </c>
      <c r="D61" s="20" t="inlineStr">
        <is>
          <t>Low</t>
        </is>
      </c>
      <c r="E61" s="7" t="inlineStr">
        <is>
          <t>1 team</t>
        </is>
      </c>
      <c r="F61" s="21" t="inlineStr">
        <is>
          <t>Todo</t>
        </is>
      </c>
      <c r="G61" s="19" t="inlineStr">
        <is>
          <t>—</t>
        </is>
      </c>
      <c r="H61" s="19" t="inlineStr">
        <is>
          <t>—</t>
        </is>
      </c>
      <c r="I61" s="21" t="inlineStr">
        <is>
          <t>Not Started</t>
        </is>
      </c>
      <c r="J61" s="8" t="inlineStr"/>
    </row>
    <row r="62" ht="26" customHeight="1" s="5">
      <c r="A62" s="7" t="inlineStr">
        <is>
          <t>2526008</t>
        </is>
      </c>
      <c r="B62" s="8" t="inlineStr">
        <is>
          <t>Goal-based tool phase 2 and Touchpoint for tool</t>
        </is>
      </c>
      <c r="C62" s="7" t="inlineStr">
        <is>
          <t>LG</t>
        </is>
      </c>
      <c r="D62" s="20" t="inlineStr">
        <is>
          <t>Low</t>
        </is>
      </c>
      <c r="E62" s="7" t="inlineStr">
        <is>
          <t>1 team</t>
        </is>
      </c>
      <c r="F62" s="21" t="inlineStr">
        <is>
          <t>Todo</t>
        </is>
      </c>
      <c r="G62" s="19" t="inlineStr">
        <is>
          <t>—</t>
        </is>
      </c>
      <c r="H62" s="19" t="inlineStr">
        <is>
          <t>—</t>
        </is>
      </c>
      <c r="I62" s="21" t="inlineStr">
        <is>
          <t>Not Started</t>
        </is>
      </c>
      <c r="J62" s="8" t="inlineStr"/>
    </row>
    <row r="64">
      <c r="A64" s="23" t="inlineStr">
        <is>
          <t>Summary</t>
        </is>
      </c>
    </row>
    <row r="65">
      <c r="A65" s="24" t="inlineStr">
        <is>
          <t>Total unique CRs:</t>
        </is>
      </c>
      <c r="B65" s="25">
        <f>COUNTA(A4:A62)</f>
        <v/>
      </c>
    </row>
    <row r="66">
      <c r="A66" s="24" t="inlineStr">
        <is>
          <t>Multi-team CRs:</t>
        </is>
      </c>
      <c r="B66" s="25">
        <f>COUNTIF(E4:E62,"2 teams")+COUNTIF(E4:E62,"3 teams")</f>
        <v/>
      </c>
    </row>
    <row r="67">
      <c r="A67" s="24" t="inlineStr">
        <is>
          <t>CRs with Overdue status:</t>
        </is>
      </c>
      <c r="B67" s="25">
        <f>COUNTIF(I4:I62,"Overdue")</f>
        <v/>
      </c>
    </row>
    <row r="68">
      <c r="A68" s="24" t="inlineStr">
        <is>
          <t>CRs fully Done:</t>
        </is>
      </c>
      <c r="B68" s="25">
        <f>COUNTIF(I4:I62,"Done")</f>
        <v/>
      </c>
    </row>
    <row r="69">
      <c r="A69" s="24" t="inlineStr">
        <is>
          <t>CRs Partially Done:</t>
        </is>
      </c>
      <c r="B69" s="25">
        <f>COUNTIF(I4:I62,"Partially Done")</f>
        <v/>
      </c>
    </row>
    <row r="70">
      <c r="A70" s="24" t="inlineStr">
        <is>
          <t>CRs In Progress:</t>
        </is>
      </c>
      <c r="B70" s="25">
        <f>COUNTIF(I4:I62,"In Progress")</f>
        <v/>
      </c>
    </row>
    <row r="71">
      <c r="A71" s="24" t="inlineStr">
        <is>
          <t>CRs in UAT:</t>
        </is>
      </c>
      <c r="B71" s="25">
        <f>COUNTIF(I4:I62,"UAT")</f>
        <v/>
      </c>
    </row>
    <row r="72">
      <c r="A72" s="24" t="inlineStr">
        <is>
          <t>CRs Blocked:</t>
        </is>
      </c>
      <c r="B72" s="25">
        <f>COUNTIF(I4:I62,"Blocked")</f>
        <v/>
      </c>
    </row>
    <row r="73">
      <c r="A73" s="24" t="inlineStr">
        <is>
          <t>CRs Rejected:</t>
        </is>
      </c>
      <c r="B73" s="25">
        <f>COUNTIF(I4:I62,"Rejected")</f>
        <v/>
      </c>
    </row>
  </sheetData>
  <mergeCells count="2">
    <mergeCell ref="A64:J64"/>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4"/>
  <sheetViews>
    <sheetView workbookViewId="0">
      <pane ySplit="1" topLeftCell="A2" activePane="bottomLeft" state="frozen"/>
      <selection pane="bottomLeft" activeCell="A1" sqref="A1"/>
    </sheetView>
  </sheetViews>
  <sheetFormatPr baseColWidth="8" defaultRowHeight="15"/>
  <sheetData>
    <row r="1">
      <c r="A1" s="26" t="inlineStr">
        <is>
          <t>report_date</t>
        </is>
      </c>
      <c r="B1" s="26" t="inlineStr">
        <is>
          <t>task_id</t>
        </is>
      </c>
      <c r="C1" s="26" t="inlineStr">
        <is>
          <t>request_id</t>
        </is>
      </c>
      <c r="D1" s="26" t="inlineStr">
        <is>
          <t>team</t>
        </is>
      </c>
      <c r="E1" s="26" t="inlineStr">
        <is>
          <t>assignee</t>
        </is>
      </c>
      <c r="F1" s="26" t="inlineStr">
        <is>
          <t>stage</t>
        </is>
      </c>
      <c r="G1" s="26" t="inlineStr">
        <is>
          <t>stage_order</t>
        </is>
      </c>
      <c r="H1" s="26" t="inlineStr">
        <is>
          <t>status</t>
        </is>
      </c>
      <c r="I1" s="26" t="inlineStr">
        <is>
          <t>priority</t>
        </is>
      </c>
      <c r="J1" s="26" t="inlineStr">
        <is>
          <t>phase</t>
        </is>
      </c>
      <c r="K1" s="26" t="inlineStr">
        <is>
          <t>q_kpi</t>
        </is>
      </c>
      <c r="L1" s="26" t="inlineStr">
        <is>
          <t>is_subtask</t>
        </is>
      </c>
      <c r="M1" s="26" t="inlineStr">
        <is>
          <t>is_done</t>
        </is>
      </c>
      <c r="N1" s="26" t="inlineStr">
        <is>
          <t>wip_flag</t>
        </is>
      </c>
      <c r="O1" s="26" t="inlineStr">
        <is>
          <t>is_multi_team</t>
        </is>
      </c>
      <c r="P1" s="26" t="inlineStr">
        <is>
          <t>team_count</t>
        </is>
      </c>
      <c r="Q1" s="26" t="inlineStr">
        <is>
          <t>has_deadline</t>
        </is>
      </c>
      <c r="R1" s="26" t="inlineStr">
        <is>
          <t>sla_met</t>
        </is>
      </c>
      <c r="S1" s="26" t="inlineStr">
        <is>
          <t>completed_late</t>
        </is>
      </c>
      <c r="T1" s="26" t="inlineStr">
        <is>
          <t>late_days</t>
        </is>
      </c>
      <c r="U1" s="26" t="inlineStr">
        <is>
          <t>days_to_deadline</t>
        </is>
      </c>
      <c r="V1" s="26" t="inlineStr">
        <is>
          <t>age_days</t>
        </is>
      </c>
      <c r="W1" s="26" t="inlineStr">
        <is>
          <t>cycle_time_days</t>
        </is>
      </c>
      <c r="X1" s="26" t="inlineStr">
        <is>
          <t>lead_time_days</t>
        </is>
      </c>
      <c r="Y1" s="26" t="inlineStr">
        <is>
          <t>stale_days</t>
        </is>
      </c>
      <c r="Z1" s="26" t="inlineStr">
        <is>
          <t>risk_level</t>
        </is>
      </c>
      <c r="AA1" s="26" t="inlineStr">
        <is>
          <t>waiting_external</t>
        </is>
      </c>
      <c r="AB1" s="26" t="inlineStr">
        <is>
          <t>has_weekly_review</t>
        </is>
      </c>
      <c r="AC1" s="26" t="inlineStr">
        <is>
          <t>recommit_count</t>
        </is>
      </c>
    </row>
    <row r="2">
      <c r="A2" t="inlineStr">
        <is>
          <t>2026-07-03</t>
        </is>
      </c>
      <c r="B2" t="inlineStr">
        <is>
          <t>10347513</t>
        </is>
      </c>
      <c r="C2" t="inlineStr"/>
      <c r="D2" t="inlineStr">
        <is>
          <t>MW Team</t>
        </is>
      </c>
      <c r="E2" t="inlineStr">
        <is>
          <t>NGUYỄN MINH HỮU</t>
        </is>
      </c>
      <c r="F2" t="inlineStr"/>
      <c r="H2" t="inlineStr">
        <is>
          <t>Doing</t>
        </is>
      </c>
      <c r="I2" t="inlineStr">
        <is>
          <t>Medium</t>
        </is>
      </c>
      <c r="J2" t="inlineStr">
        <is>
          <t>Q2</t>
        </is>
      </c>
      <c r="K2" t="inlineStr"/>
      <c r="L2" t="b">
        <v>0</v>
      </c>
      <c r="M2" t="b">
        <v>0</v>
      </c>
      <c r="N2" t="b">
        <v>1</v>
      </c>
      <c r="O2" t="b">
        <v>0</v>
      </c>
      <c r="P2" t="n">
        <v>1</v>
      </c>
      <c r="Q2" t="b">
        <v>0</v>
      </c>
      <c r="S2" t="b">
        <v>0</v>
      </c>
      <c r="T2" t="n">
        <v>0</v>
      </c>
      <c r="V2" t="n">
        <v>0</v>
      </c>
      <c r="Z2" t="inlineStr">
        <is>
          <t>Medium</t>
        </is>
      </c>
      <c r="AA2" t="b">
        <v>0</v>
      </c>
      <c r="AB2" t="b">
        <v>0</v>
      </c>
      <c r="AC2" t="n">
        <v>0</v>
      </c>
    </row>
    <row r="3">
      <c r="A3" t="inlineStr">
        <is>
          <t>2026-07-03</t>
        </is>
      </c>
      <c r="B3" t="inlineStr">
        <is>
          <t>10274446</t>
        </is>
      </c>
      <c r="C3" t="inlineStr">
        <is>
          <t>2129248</t>
        </is>
      </c>
      <c r="D3" t="inlineStr">
        <is>
          <t>Dev Team B</t>
        </is>
      </c>
      <c r="E3" t="inlineStr">
        <is>
          <t>VÕ BẢO MINH</t>
        </is>
      </c>
      <c r="F3" t="inlineStr">
        <is>
          <t>UAT Testing</t>
        </is>
      </c>
      <c r="G3" t="n">
        <v>5</v>
      </c>
      <c r="H3" t="inlineStr">
        <is>
          <t>UAT</t>
        </is>
      </c>
      <c r="I3" t="inlineStr">
        <is>
          <t>Medium</t>
        </is>
      </c>
      <c r="J3" t="inlineStr">
        <is>
          <t>Q2</t>
        </is>
      </c>
      <c r="K3" t="inlineStr">
        <is>
          <t>2026Q2</t>
        </is>
      </c>
      <c r="L3" t="b">
        <v>0</v>
      </c>
      <c r="M3" t="b">
        <v>0</v>
      </c>
      <c r="N3" t="b">
        <v>1</v>
      </c>
      <c r="O3" t="b">
        <v>0</v>
      </c>
      <c r="P3" t="n">
        <v>1</v>
      </c>
      <c r="Q3" t="b">
        <v>1</v>
      </c>
      <c r="R3" t="b">
        <v>0</v>
      </c>
      <c r="S3" t="b">
        <v>1</v>
      </c>
      <c r="T3" t="n">
        <v>2</v>
      </c>
      <c r="V3" t="n">
        <v>14</v>
      </c>
      <c r="W3" t="n">
        <v>13</v>
      </c>
      <c r="X3" t="n">
        <v>259</v>
      </c>
      <c r="Z3" t="inlineStr">
        <is>
          <t>High</t>
        </is>
      </c>
      <c r="AA3" t="b">
        <v>0</v>
      </c>
      <c r="AB3" t="b">
        <v>0</v>
      </c>
      <c r="AC3" t="n">
        <v>1</v>
      </c>
    </row>
    <row r="4">
      <c r="A4" t="inlineStr">
        <is>
          <t>2026-07-03</t>
        </is>
      </c>
      <c r="B4" t="inlineStr">
        <is>
          <t>10223433</t>
        </is>
      </c>
      <c r="C4" t="inlineStr">
        <is>
          <t>2335404</t>
        </is>
      </c>
      <c r="D4" t="inlineStr">
        <is>
          <t>Dev Team B</t>
        </is>
      </c>
      <c r="E4" t="inlineStr">
        <is>
          <t>VÕ BẢO MINH</t>
        </is>
      </c>
      <c r="F4" t="inlineStr">
        <is>
          <t>UAT Testing</t>
        </is>
      </c>
      <c r="G4" t="n">
        <v>5</v>
      </c>
      <c r="H4" t="inlineStr">
        <is>
          <t>UAT</t>
        </is>
      </c>
      <c r="I4" t="inlineStr">
        <is>
          <t>Medium</t>
        </is>
      </c>
      <c r="J4" t="inlineStr">
        <is>
          <t>Q2</t>
        </is>
      </c>
      <c r="K4" t="inlineStr">
        <is>
          <t>2026Q2</t>
        </is>
      </c>
      <c r="L4" t="b">
        <v>0</v>
      </c>
      <c r="M4" t="b">
        <v>0</v>
      </c>
      <c r="N4" t="b">
        <v>1</v>
      </c>
      <c r="O4" t="b">
        <v>1</v>
      </c>
      <c r="P4" t="n">
        <v>2</v>
      </c>
      <c r="Q4" t="b">
        <v>1</v>
      </c>
      <c r="R4" t="b">
        <v>1</v>
      </c>
      <c r="S4" t="b">
        <v>0</v>
      </c>
      <c r="T4" t="n">
        <v>0</v>
      </c>
      <c r="V4" t="n">
        <v>25</v>
      </c>
      <c r="W4" t="n">
        <v>3</v>
      </c>
      <c r="X4" t="n">
        <v>67</v>
      </c>
      <c r="Z4" t="inlineStr">
        <is>
          <t>High</t>
        </is>
      </c>
      <c r="AA4" t="b">
        <v>0</v>
      </c>
      <c r="AB4" t="b">
        <v>0</v>
      </c>
      <c r="AC4" t="n">
        <v>1</v>
      </c>
    </row>
    <row r="5">
      <c r="A5" t="inlineStr">
        <is>
          <t>2026-07-03</t>
        </is>
      </c>
      <c r="B5" t="inlineStr">
        <is>
          <t>10055830</t>
        </is>
      </c>
      <c r="C5" t="inlineStr">
        <is>
          <t>2084592</t>
        </is>
      </c>
      <c r="D5" t="inlineStr">
        <is>
          <t>Dev Team B</t>
        </is>
      </c>
      <c r="E5" t="inlineStr">
        <is>
          <t>VÕ BẢO MINH</t>
        </is>
      </c>
      <c r="F5" t="inlineStr">
        <is>
          <t>UAT Testing</t>
        </is>
      </c>
      <c r="G5" t="n">
        <v>5</v>
      </c>
      <c r="H5" t="inlineStr">
        <is>
          <t>UAT</t>
        </is>
      </c>
      <c r="I5" t="inlineStr">
        <is>
          <t>High</t>
        </is>
      </c>
      <c r="J5" t="inlineStr">
        <is>
          <t>Q2</t>
        </is>
      </c>
      <c r="K5" t="inlineStr">
        <is>
          <t>2026Q2</t>
        </is>
      </c>
      <c r="L5" t="b">
        <v>0</v>
      </c>
      <c r="M5" t="b">
        <v>0</v>
      </c>
      <c r="N5" t="b">
        <v>1</v>
      </c>
      <c r="O5" t="b">
        <v>1</v>
      </c>
      <c r="P5" t="n">
        <v>3</v>
      </c>
      <c r="Q5" t="b">
        <v>1</v>
      </c>
      <c r="R5" t="b">
        <v>0</v>
      </c>
      <c r="S5" t="b">
        <v>1</v>
      </c>
      <c r="T5" t="n">
        <v>0</v>
      </c>
      <c r="V5" t="n">
        <v>59</v>
      </c>
      <c r="W5" t="n">
        <v>10</v>
      </c>
      <c r="X5" t="n">
        <v>224</v>
      </c>
      <c r="Z5" t="inlineStr">
        <is>
          <t>High</t>
        </is>
      </c>
      <c r="AA5" t="b">
        <v>0</v>
      </c>
      <c r="AB5" t="b">
        <v>0</v>
      </c>
      <c r="AC5" t="n">
        <v>1</v>
      </c>
    </row>
    <row r="6">
      <c r="A6" t="inlineStr">
        <is>
          <t>2026-07-03</t>
        </is>
      </c>
      <c r="B6" t="inlineStr">
        <is>
          <t>9739419</t>
        </is>
      </c>
      <c r="C6" t="inlineStr">
        <is>
          <t>2084592</t>
        </is>
      </c>
      <c r="D6" t="inlineStr">
        <is>
          <t>Team Mobile</t>
        </is>
      </c>
      <c r="E6" t="inlineStr">
        <is>
          <t>VÕ THANH PHONG</t>
        </is>
      </c>
      <c r="F6" t="inlineStr">
        <is>
          <t>UAT Testing</t>
        </is>
      </c>
      <c r="G6" t="n">
        <v>5</v>
      </c>
      <c r="H6" t="inlineStr">
        <is>
          <t>Overdue</t>
        </is>
      </c>
      <c r="I6" t="inlineStr">
        <is>
          <t>High</t>
        </is>
      </c>
      <c r="J6" t="inlineStr">
        <is>
          <t>Q2</t>
        </is>
      </c>
      <c r="K6" t="inlineStr">
        <is>
          <t>2026Q1</t>
        </is>
      </c>
      <c r="L6" t="b">
        <v>0</v>
      </c>
      <c r="M6" t="b">
        <v>0</v>
      </c>
      <c r="N6" t="b">
        <v>0</v>
      </c>
      <c r="O6" t="b">
        <v>1</v>
      </c>
      <c r="P6" t="n">
        <v>3</v>
      </c>
      <c r="Q6" t="b">
        <v>1</v>
      </c>
      <c r="S6" t="b">
        <v>0</v>
      </c>
      <c r="T6" t="n">
        <v>33</v>
      </c>
      <c r="U6" t="n">
        <v>-33</v>
      </c>
      <c r="V6" t="n">
        <v>122</v>
      </c>
      <c r="Y6" t="n">
        <v>2</v>
      </c>
      <c r="Z6" t="inlineStr">
        <is>
          <t>High</t>
        </is>
      </c>
      <c r="AA6" t="b">
        <v>0</v>
      </c>
      <c r="AB6" t="b">
        <v>1</v>
      </c>
      <c r="AC6" t="n">
        <v>1</v>
      </c>
    </row>
    <row r="7">
      <c r="A7" t="inlineStr">
        <is>
          <t>2026-07-03</t>
        </is>
      </c>
      <c r="B7" t="inlineStr">
        <is>
          <t>9739414</t>
        </is>
      </c>
      <c r="C7" t="inlineStr">
        <is>
          <t>2149046</t>
        </is>
      </c>
      <c r="D7" t="inlineStr">
        <is>
          <t>Team Mobile</t>
        </is>
      </c>
      <c r="E7" t="inlineStr">
        <is>
          <t>VÕ THANH PHONG</t>
        </is>
      </c>
      <c r="F7" t="inlineStr">
        <is>
          <t>UAT Testing</t>
        </is>
      </c>
      <c r="G7" t="n">
        <v>5</v>
      </c>
      <c r="H7" t="inlineStr">
        <is>
          <t>Overdue</t>
        </is>
      </c>
      <c r="I7" t="inlineStr">
        <is>
          <t>High</t>
        </is>
      </c>
      <c r="J7" t="inlineStr">
        <is>
          <t>Q2</t>
        </is>
      </c>
      <c r="K7" t="inlineStr">
        <is>
          <t>2026Q1</t>
        </is>
      </c>
      <c r="L7" t="b">
        <v>0</v>
      </c>
      <c r="M7" t="b">
        <v>0</v>
      </c>
      <c r="N7" t="b">
        <v>0</v>
      </c>
      <c r="O7" t="b">
        <v>1</v>
      </c>
      <c r="P7" t="n">
        <v>2</v>
      </c>
      <c r="Q7" t="b">
        <v>1</v>
      </c>
      <c r="S7" t="b">
        <v>0</v>
      </c>
      <c r="T7" t="n">
        <v>42</v>
      </c>
      <c r="U7" t="n">
        <v>-42</v>
      </c>
      <c r="V7" t="n">
        <v>122</v>
      </c>
      <c r="Y7" t="n">
        <v>3</v>
      </c>
      <c r="Z7" t="inlineStr">
        <is>
          <t>High</t>
        </is>
      </c>
      <c r="AA7" t="b">
        <v>0</v>
      </c>
      <c r="AB7" t="b">
        <v>1</v>
      </c>
      <c r="AC7" t="n">
        <v>0</v>
      </c>
    </row>
    <row r="8">
      <c r="A8" t="inlineStr">
        <is>
          <t>2026-07-03</t>
        </is>
      </c>
      <c r="B8" t="inlineStr">
        <is>
          <t>9739427</t>
        </is>
      </c>
      <c r="C8" t="inlineStr">
        <is>
          <t>2283752</t>
        </is>
      </c>
      <c r="D8" t="inlineStr">
        <is>
          <t>Team Mobile</t>
        </is>
      </c>
      <c r="E8" t="inlineStr"/>
      <c r="F8" t="inlineStr">
        <is>
          <t>UAT Testing</t>
        </is>
      </c>
      <c r="G8" t="n">
        <v>5</v>
      </c>
      <c r="H8" t="inlineStr">
        <is>
          <t>UAT</t>
        </is>
      </c>
      <c r="I8" t="inlineStr">
        <is>
          <t>Low</t>
        </is>
      </c>
      <c r="J8" t="inlineStr">
        <is>
          <t>Q2</t>
        </is>
      </c>
      <c r="K8" t="inlineStr">
        <is>
          <t>2026Q2</t>
        </is>
      </c>
      <c r="L8" t="b">
        <v>0</v>
      </c>
      <c r="M8" t="b">
        <v>0</v>
      </c>
      <c r="N8" t="b">
        <v>1</v>
      </c>
      <c r="O8" t="b">
        <v>1</v>
      </c>
      <c r="P8" t="n">
        <v>2</v>
      </c>
      <c r="Q8" t="b">
        <v>0</v>
      </c>
      <c r="S8" t="b">
        <v>0</v>
      </c>
      <c r="T8" t="n">
        <v>0</v>
      </c>
      <c r="V8" t="n">
        <v>122</v>
      </c>
      <c r="Y8" t="n">
        <v>2</v>
      </c>
      <c r="Z8" t="inlineStr">
        <is>
          <t>Medium</t>
        </is>
      </c>
      <c r="AA8" t="b">
        <v>0</v>
      </c>
      <c r="AB8" t="b">
        <v>1</v>
      </c>
      <c r="AC8" t="n">
        <v>0</v>
      </c>
    </row>
    <row r="9">
      <c r="A9" t="inlineStr">
        <is>
          <t>2026-07-03</t>
        </is>
      </c>
      <c r="B9" t="inlineStr">
        <is>
          <t>9739415</t>
        </is>
      </c>
      <c r="C9" t="inlineStr">
        <is>
          <t>2238356</t>
        </is>
      </c>
      <c r="D9" t="inlineStr">
        <is>
          <t>Team Mobile</t>
        </is>
      </c>
      <c r="E9" t="inlineStr">
        <is>
          <t>VÕ THANH PHONG</t>
        </is>
      </c>
      <c r="F9" t="inlineStr">
        <is>
          <t>UAT Testing</t>
        </is>
      </c>
      <c r="G9" t="n">
        <v>5</v>
      </c>
      <c r="H9" t="inlineStr">
        <is>
          <t>Overdue</t>
        </is>
      </c>
      <c r="I9" t="inlineStr">
        <is>
          <t>High</t>
        </is>
      </c>
      <c r="J9" t="inlineStr">
        <is>
          <t>Q2</t>
        </is>
      </c>
      <c r="K9" t="inlineStr">
        <is>
          <t>2026Q1</t>
        </is>
      </c>
      <c r="L9" t="b">
        <v>0</v>
      </c>
      <c r="M9" t="b">
        <v>0</v>
      </c>
      <c r="N9" t="b">
        <v>0</v>
      </c>
      <c r="O9" t="b">
        <v>1</v>
      </c>
      <c r="P9" t="n">
        <v>2</v>
      </c>
      <c r="Q9" t="b">
        <v>1</v>
      </c>
      <c r="S9" t="b">
        <v>0</v>
      </c>
      <c r="T9" t="n">
        <v>35</v>
      </c>
      <c r="U9" t="n">
        <v>-35</v>
      </c>
      <c r="V9" t="n">
        <v>122</v>
      </c>
      <c r="Y9" t="n">
        <v>2</v>
      </c>
      <c r="Z9" t="inlineStr">
        <is>
          <t>High</t>
        </is>
      </c>
      <c r="AA9" t="b">
        <v>0</v>
      </c>
      <c r="AB9" t="b">
        <v>1</v>
      </c>
      <c r="AC9" t="n">
        <v>0</v>
      </c>
    </row>
    <row r="10">
      <c r="A10" t="inlineStr">
        <is>
          <t>2026-07-03</t>
        </is>
      </c>
      <c r="B10" t="inlineStr">
        <is>
          <t>9953694</t>
        </is>
      </c>
      <c r="C10" t="inlineStr">
        <is>
          <t>2335404</t>
        </is>
      </c>
      <c r="D10" t="inlineStr">
        <is>
          <t>Team Mobile</t>
        </is>
      </c>
      <c r="E10" t="inlineStr">
        <is>
          <t>VÕ THANH PHONG</t>
        </is>
      </c>
      <c r="F10" t="inlineStr">
        <is>
          <t>FTL Coding</t>
        </is>
      </c>
      <c r="G10" t="n">
        <v>3</v>
      </c>
      <c r="H10" t="inlineStr">
        <is>
          <t>Doing</t>
        </is>
      </c>
      <c r="I10" t="inlineStr">
        <is>
          <t>Medium</t>
        </is>
      </c>
      <c r="J10" t="inlineStr">
        <is>
          <t>Q2</t>
        </is>
      </c>
      <c r="K10" t="inlineStr">
        <is>
          <t>2026Q3</t>
        </is>
      </c>
      <c r="L10" t="b">
        <v>0</v>
      </c>
      <c r="M10" t="b">
        <v>0</v>
      </c>
      <c r="N10" t="b">
        <v>1</v>
      </c>
      <c r="O10" t="b">
        <v>1</v>
      </c>
      <c r="P10" t="n">
        <v>2</v>
      </c>
      <c r="Q10" t="b">
        <v>0</v>
      </c>
      <c r="S10" t="b">
        <v>0</v>
      </c>
      <c r="T10" t="n">
        <v>0</v>
      </c>
      <c r="V10" t="n">
        <v>81</v>
      </c>
      <c r="Y10" t="n">
        <v>2</v>
      </c>
      <c r="Z10" t="inlineStr">
        <is>
          <t>Medium</t>
        </is>
      </c>
      <c r="AA10" t="b">
        <v>0</v>
      </c>
      <c r="AB10" t="b">
        <v>1</v>
      </c>
      <c r="AC10" t="n">
        <v>0</v>
      </c>
    </row>
    <row r="11">
      <c r="A11" t="inlineStr">
        <is>
          <t>2026-07-03</t>
        </is>
      </c>
      <c r="B11" t="inlineStr">
        <is>
          <t>10340145</t>
        </is>
      </c>
      <c r="C11" t="inlineStr">
        <is>
          <t>2330515</t>
        </is>
      </c>
      <c r="D11" t="inlineStr">
        <is>
          <t>Dev Team B</t>
        </is>
      </c>
      <c r="E11" t="inlineStr">
        <is>
          <t>VÕ BẢO MINH</t>
        </is>
      </c>
      <c r="F11" t="inlineStr">
        <is>
          <t>Backlog</t>
        </is>
      </c>
      <c r="G11" t="n">
        <v>0</v>
      </c>
      <c r="H11" t="inlineStr">
        <is>
          <t>Todo</t>
        </is>
      </c>
      <c r="I11" t="inlineStr">
        <is>
          <t>Low</t>
        </is>
      </c>
      <c r="J11" t="inlineStr">
        <is>
          <t>Q3</t>
        </is>
      </c>
      <c r="K11" t="inlineStr">
        <is>
          <t>2026Q3</t>
        </is>
      </c>
      <c r="L11" t="b">
        <v>0</v>
      </c>
      <c r="M11" t="b">
        <v>0</v>
      </c>
      <c r="N11" t="b">
        <v>0</v>
      </c>
      <c r="O11" t="b">
        <v>1</v>
      </c>
      <c r="P11" t="n">
        <v>2</v>
      </c>
      <c r="Q11" t="b">
        <v>0</v>
      </c>
      <c r="S11" t="b">
        <v>0</v>
      </c>
      <c r="T11" t="n">
        <v>0</v>
      </c>
      <c r="V11" t="n">
        <v>1</v>
      </c>
      <c r="Z11" t="inlineStr">
        <is>
          <t>Low</t>
        </is>
      </c>
      <c r="AA11" t="b">
        <v>0</v>
      </c>
      <c r="AB11" t="b">
        <v>0</v>
      </c>
      <c r="AC11" t="n">
        <v>0</v>
      </c>
    </row>
    <row r="12">
      <c r="A12" t="inlineStr">
        <is>
          <t>2026-07-03</t>
        </is>
      </c>
      <c r="B12" t="inlineStr">
        <is>
          <t>10340143</t>
        </is>
      </c>
      <c r="C12" t="inlineStr">
        <is>
          <t>2415056</t>
        </is>
      </c>
      <c r="D12" t="inlineStr">
        <is>
          <t>Dev Team B</t>
        </is>
      </c>
      <c r="E12" t="inlineStr">
        <is>
          <t>VÕ BẢO MINH</t>
        </is>
      </c>
      <c r="F12" t="inlineStr">
        <is>
          <t>Discuss Req</t>
        </is>
      </c>
      <c r="G12" t="n">
        <v>1</v>
      </c>
      <c r="H12" t="inlineStr">
        <is>
          <t>Doing</t>
        </is>
      </c>
      <c r="I12" t="inlineStr">
        <is>
          <t>Low</t>
        </is>
      </c>
      <c r="J12" t="inlineStr">
        <is>
          <t>Q3</t>
        </is>
      </c>
      <c r="K12" t="inlineStr">
        <is>
          <t>2026Q3</t>
        </is>
      </c>
      <c r="L12" t="b">
        <v>0</v>
      </c>
      <c r="M12" t="b">
        <v>0</v>
      </c>
      <c r="N12" t="b">
        <v>1</v>
      </c>
      <c r="O12" t="b">
        <v>1</v>
      </c>
      <c r="P12" t="n">
        <v>2</v>
      </c>
      <c r="Q12" t="b">
        <v>0</v>
      </c>
      <c r="S12" t="b">
        <v>0</v>
      </c>
      <c r="T12" t="n">
        <v>0</v>
      </c>
      <c r="V12" t="n">
        <v>1</v>
      </c>
      <c r="Z12" t="inlineStr">
        <is>
          <t>Medium</t>
        </is>
      </c>
      <c r="AA12" t="b">
        <v>0</v>
      </c>
      <c r="AB12" t="b">
        <v>0</v>
      </c>
      <c r="AC12" t="n">
        <v>0</v>
      </c>
    </row>
    <row r="13">
      <c r="A13" t="inlineStr">
        <is>
          <t>2026-07-03</t>
        </is>
      </c>
      <c r="B13" t="inlineStr">
        <is>
          <t>10340127</t>
        </is>
      </c>
      <c r="C13" t="inlineStr">
        <is>
          <t>2425861</t>
        </is>
      </c>
      <c r="D13" t="inlineStr">
        <is>
          <t>Dev Team B</t>
        </is>
      </c>
      <c r="E13" t="inlineStr">
        <is>
          <t>VÕ BẢO MINH</t>
        </is>
      </c>
      <c r="F13" t="inlineStr">
        <is>
          <t>Backlog</t>
        </is>
      </c>
      <c r="G13" t="n">
        <v>0</v>
      </c>
      <c r="H13" t="inlineStr">
        <is>
          <t>Todo</t>
        </is>
      </c>
      <c r="I13" t="inlineStr">
        <is>
          <t>Low</t>
        </is>
      </c>
      <c r="J13" t="inlineStr">
        <is>
          <t>Q3</t>
        </is>
      </c>
      <c r="K13" t="inlineStr">
        <is>
          <t>2026Q3</t>
        </is>
      </c>
      <c r="L13" t="b">
        <v>0</v>
      </c>
      <c r="M13" t="b">
        <v>0</v>
      </c>
      <c r="N13" t="b">
        <v>0</v>
      </c>
      <c r="O13" t="b">
        <v>0</v>
      </c>
      <c r="P13" t="n">
        <v>1</v>
      </c>
      <c r="Q13" t="b">
        <v>0</v>
      </c>
      <c r="S13" t="b">
        <v>0</v>
      </c>
      <c r="T13" t="n">
        <v>0</v>
      </c>
      <c r="V13" t="n">
        <v>1</v>
      </c>
      <c r="Z13" t="inlineStr">
        <is>
          <t>Low</t>
        </is>
      </c>
      <c r="AA13" t="b">
        <v>0</v>
      </c>
      <c r="AB13" t="b">
        <v>0</v>
      </c>
      <c r="AC13" t="n">
        <v>0</v>
      </c>
    </row>
    <row r="14">
      <c r="A14" t="inlineStr">
        <is>
          <t>2026-07-03</t>
        </is>
      </c>
      <c r="B14" t="inlineStr">
        <is>
          <t>10340024</t>
        </is>
      </c>
      <c r="C14" t="inlineStr">
        <is>
          <t>2426812</t>
        </is>
      </c>
      <c r="D14" t="inlineStr">
        <is>
          <t>Dev Team B</t>
        </is>
      </c>
      <c r="E14" t="inlineStr">
        <is>
          <t>VÕ BẢO MINH</t>
        </is>
      </c>
      <c r="F14" t="inlineStr">
        <is>
          <t>Design UI/UX</t>
        </is>
      </c>
      <c r="G14" t="n">
        <v>2</v>
      </c>
      <c r="H14" t="inlineStr">
        <is>
          <t>Doing</t>
        </is>
      </c>
      <c r="I14" t="inlineStr">
        <is>
          <t>Low</t>
        </is>
      </c>
      <c r="J14" t="inlineStr">
        <is>
          <t>Q3</t>
        </is>
      </c>
      <c r="K14" t="inlineStr">
        <is>
          <t>2026Q3</t>
        </is>
      </c>
      <c r="L14" t="b">
        <v>0</v>
      </c>
      <c r="M14" t="b">
        <v>0</v>
      </c>
      <c r="N14" t="b">
        <v>1</v>
      </c>
      <c r="O14" t="b">
        <v>0</v>
      </c>
      <c r="P14" t="n">
        <v>1</v>
      </c>
      <c r="Q14" t="b">
        <v>0</v>
      </c>
      <c r="S14" t="b">
        <v>0</v>
      </c>
      <c r="T14" t="n">
        <v>0</v>
      </c>
      <c r="V14" t="n">
        <v>1</v>
      </c>
      <c r="Z14" t="inlineStr">
        <is>
          <t>Medium</t>
        </is>
      </c>
      <c r="AA14" t="b">
        <v>0</v>
      </c>
      <c r="AB14" t="b">
        <v>0</v>
      </c>
      <c r="AC14" t="n">
        <v>0</v>
      </c>
    </row>
    <row r="15">
      <c r="A15" t="inlineStr">
        <is>
          <t>2026-07-03</t>
        </is>
      </c>
      <c r="B15" t="inlineStr">
        <is>
          <t>10340021</t>
        </is>
      </c>
      <c r="C15" t="inlineStr">
        <is>
          <t>2403987</t>
        </is>
      </c>
      <c r="D15" t="inlineStr">
        <is>
          <t>Dev Team B</t>
        </is>
      </c>
      <c r="E15" t="inlineStr">
        <is>
          <t>VÕ BẢO MINH</t>
        </is>
      </c>
      <c r="F15" t="inlineStr">
        <is>
          <t>Web B Coding</t>
        </is>
      </c>
      <c r="G15" t="n">
        <v>3</v>
      </c>
      <c r="H15" t="inlineStr">
        <is>
          <t>Doing</t>
        </is>
      </c>
      <c r="I15" t="inlineStr">
        <is>
          <t>Low</t>
        </is>
      </c>
      <c r="J15" t="inlineStr">
        <is>
          <t>Q3</t>
        </is>
      </c>
      <c r="K15" t="inlineStr">
        <is>
          <t>2026Q3</t>
        </is>
      </c>
      <c r="L15" t="b">
        <v>0</v>
      </c>
      <c r="M15" t="b">
        <v>0</v>
      </c>
      <c r="N15" t="b">
        <v>1</v>
      </c>
      <c r="O15" t="b">
        <v>0</v>
      </c>
      <c r="P15" t="n">
        <v>1</v>
      </c>
      <c r="Q15" t="b">
        <v>0</v>
      </c>
      <c r="S15" t="b">
        <v>0</v>
      </c>
      <c r="T15" t="n">
        <v>0</v>
      </c>
      <c r="V15" t="n">
        <v>1</v>
      </c>
      <c r="Z15" t="inlineStr">
        <is>
          <t>Medium</t>
        </is>
      </c>
      <c r="AA15" t="b">
        <v>0</v>
      </c>
      <c r="AB15" t="b">
        <v>0</v>
      </c>
      <c r="AC15" t="n">
        <v>1</v>
      </c>
    </row>
    <row r="16">
      <c r="A16" t="inlineStr">
        <is>
          <t>2026-07-03</t>
        </is>
      </c>
      <c r="B16" t="inlineStr">
        <is>
          <t>10340020</t>
        </is>
      </c>
      <c r="C16" t="inlineStr">
        <is>
          <t>2540233</t>
        </is>
      </c>
      <c r="D16" t="inlineStr">
        <is>
          <t>Dev Team B</t>
        </is>
      </c>
      <c r="E16" t="inlineStr">
        <is>
          <t>VÕ BẢO MINH</t>
        </is>
      </c>
      <c r="F16" t="inlineStr">
        <is>
          <t>Dev To do</t>
        </is>
      </c>
      <c r="G16" t="n">
        <v>3</v>
      </c>
      <c r="H16" t="inlineStr">
        <is>
          <t>Todo</t>
        </is>
      </c>
      <c r="I16" t="inlineStr">
        <is>
          <t>Low</t>
        </is>
      </c>
      <c r="J16" t="inlineStr">
        <is>
          <t>Q3</t>
        </is>
      </c>
      <c r="K16" t="inlineStr">
        <is>
          <t>2026Q3</t>
        </is>
      </c>
      <c r="L16" t="b">
        <v>0</v>
      </c>
      <c r="M16" t="b">
        <v>0</v>
      </c>
      <c r="N16" t="b">
        <v>0</v>
      </c>
      <c r="O16" t="b">
        <v>1</v>
      </c>
      <c r="P16" t="n">
        <v>2</v>
      </c>
      <c r="Q16" t="b">
        <v>0</v>
      </c>
      <c r="S16" t="b">
        <v>0</v>
      </c>
      <c r="T16" t="n">
        <v>0</v>
      </c>
      <c r="V16" t="n">
        <v>1</v>
      </c>
      <c r="Z16" t="inlineStr">
        <is>
          <t>Low</t>
        </is>
      </c>
      <c r="AA16" t="b">
        <v>0</v>
      </c>
      <c r="AB16" t="b">
        <v>0</v>
      </c>
      <c r="AC16" t="n">
        <v>0</v>
      </c>
    </row>
    <row r="17">
      <c r="A17" t="inlineStr">
        <is>
          <t>2026-07-03</t>
        </is>
      </c>
      <c r="B17" t="inlineStr">
        <is>
          <t>10058431</t>
        </is>
      </c>
      <c r="C17" t="inlineStr">
        <is>
          <t>1954732</t>
        </is>
      </c>
      <c r="D17" t="inlineStr">
        <is>
          <t>Dev Team B</t>
        </is>
      </c>
      <c r="E17" t="inlineStr">
        <is>
          <t>VÕ BẢO MINH</t>
        </is>
      </c>
      <c r="F17" t="inlineStr">
        <is>
          <t>Dev To do</t>
        </is>
      </c>
      <c r="G17" t="n">
        <v>3</v>
      </c>
      <c r="H17" t="inlineStr">
        <is>
          <t>Todo</t>
        </is>
      </c>
      <c r="I17" t="inlineStr">
        <is>
          <t>Low</t>
        </is>
      </c>
      <c r="J17" t="inlineStr">
        <is>
          <t>Backlog</t>
        </is>
      </c>
      <c r="K17" t="inlineStr"/>
      <c r="L17" t="b">
        <v>0</v>
      </c>
      <c r="M17" t="b">
        <v>0</v>
      </c>
      <c r="N17" t="b">
        <v>0</v>
      </c>
      <c r="O17" t="b">
        <v>0</v>
      </c>
      <c r="P17" t="n">
        <v>1</v>
      </c>
      <c r="Q17" t="b">
        <v>0</v>
      </c>
      <c r="S17" t="b">
        <v>0</v>
      </c>
      <c r="T17" t="n">
        <v>0</v>
      </c>
      <c r="V17" t="n">
        <v>58</v>
      </c>
      <c r="Z17" t="inlineStr">
        <is>
          <t>Low</t>
        </is>
      </c>
      <c r="AA17" t="b">
        <v>0</v>
      </c>
      <c r="AB17" t="b">
        <v>0</v>
      </c>
      <c r="AC17" t="n">
        <v>0</v>
      </c>
    </row>
    <row r="18">
      <c r="A18" t="inlineStr">
        <is>
          <t>2026-07-03</t>
        </is>
      </c>
      <c r="B18" t="inlineStr">
        <is>
          <t>9956873</t>
        </is>
      </c>
      <c r="C18" t="inlineStr">
        <is>
          <t>1923581</t>
        </is>
      </c>
      <c r="D18" t="inlineStr">
        <is>
          <t>Dev Team B</t>
        </is>
      </c>
      <c r="E18" t="inlineStr">
        <is>
          <t>VÕ BẢO MINH</t>
        </is>
      </c>
      <c r="F18" t="inlineStr">
        <is>
          <t>Pending</t>
        </is>
      </c>
      <c r="G18" t="n">
        <v>3</v>
      </c>
      <c r="H18" t="inlineStr">
        <is>
          <t>Blocked</t>
        </is>
      </c>
      <c r="I18" t="inlineStr">
        <is>
          <t>Low</t>
        </is>
      </c>
      <c r="J18" t="inlineStr">
        <is>
          <t>Backlog</t>
        </is>
      </c>
      <c r="K18" t="inlineStr"/>
      <c r="L18" t="b">
        <v>0</v>
      </c>
      <c r="M18" t="b">
        <v>0</v>
      </c>
      <c r="N18" t="b">
        <v>0</v>
      </c>
      <c r="O18" t="b">
        <v>0</v>
      </c>
      <c r="P18" t="n">
        <v>1</v>
      </c>
      <c r="Q18" t="b">
        <v>0</v>
      </c>
      <c r="S18" t="b">
        <v>0</v>
      </c>
      <c r="T18" t="n">
        <v>0</v>
      </c>
      <c r="V18" t="n">
        <v>80</v>
      </c>
      <c r="Z18" t="inlineStr">
        <is>
          <t>High</t>
        </is>
      </c>
      <c r="AA18" t="b">
        <v>1</v>
      </c>
      <c r="AB18" t="b">
        <v>0</v>
      </c>
      <c r="AC18" t="n">
        <v>0</v>
      </c>
    </row>
    <row r="19">
      <c r="A19" t="inlineStr">
        <is>
          <t>2026-07-03</t>
        </is>
      </c>
      <c r="B19" t="inlineStr">
        <is>
          <t>10059258</t>
        </is>
      </c>
      <c r="C19" t="inlineStr">
        <is>
          <t>2403987</t>
        </is>
      </c>
      <c r="D19" t="inlineStr">
        <is>
          <t>Dev Team B</t>
        </is>
      </c>
      <c r="E19" t="inlineStr">
        <is>
          <t>VÕ BẢO MINH</t>
        </is>
      </c>
      <c r="F19" t="inlineStr">
        <is>
          <t>UAT Testing</t>
        </is>
      </c>
      <c r="G19" t="n">
        <v>5</v>
      </c>
      <c r="H19" t="inlineStr">
        <is>
          <t>UAT</t>
        </is>
      </c>
      <c r="I19" t="inlineStr">
        <is>
          <t>Low</t>
        </is>
      </c>
      <c r="J19" t="inlineStr">
        <is>
          <t>Q2</t>
        </is>
      </c>
      <c r="K19" t="inlineStr">
        <is>
          <t>2026Q2</t>
        </is>
      </c>
      <c r="L19" t="b">
        <v>0</v>
      </c>
      <c r="M19" t="b">
        <v>0</v>
      </c>
      <c r="N19" t="b">
        <v>1</v>
      </c>
      <c r="O19" t="b">
        <v>0</v>
      </c>
      <c r="P19" t="n">
        <v>1</v>
      </c>
      <c r="Q19" t="b">
        <v>0</v>
      </c>
      <c r="S19" t="b">
        <v>0</v>
      </c>
      <c r="T19" t="n">
        <v>0</v>
      </c>
      <c r="V19" t="n">
        <v>58</v>
      </c>
      <c r="Y19" t="n">
        <v>1</v>
      </c>
      <c r="Z19" t="inlineStr">
        <is>
          <t>Medium</t>
        </is>
      </c>
      <c r="AA19" t="b">
        <v>0</v>
      </c>
      <c r="AB19" t="b">
        <v>1</v>
      </c>
      <c r="AC19" t="n">
        <v>1</v>
      </c>
    </row>
    <row r="20">
      <c r="A20" t="inlineStr">
        <is>
          <t>2026-07-03</t>
        </is>
      </c>
      <c r="B20" t="inlineStr">
        <is>
          <t>9956507</t>
        </is>
      </c>
      <c r="C20" t="inlineStr">
        <is>
          <t>2275303</t>
        </is>
      </c>
      <c r="D20" t="inlineStr">
        <is>
          <t>Dev Team B</t>
        </is>
      </c>
      <c r="E20" t="inlineStr">
        <is>
          <t>VÕ BẢO MINH</t>
        </is>
      </c>
      <c r="F20" t="inlineStr">
        <is>
          <t>Ready for go-live</t>
        </is>
      </c>
      <c r="G20" t="n">
        <v>6</v>
      </c>
      <c r="H20" t="inlineStr">
        <is>
          <t>Done</t>
        </is>
      </c>
      <c r="I20" t="inlineStr">
        <is>
          <t>Medium</t>
        </is>
      </c>
      <c r="J20" t="inlineStr">
        <is>
          <t>Q2</t>
        </is>
      </c>
      <c r="K20" t="inlineStr">
        <is>
          <t>2026Q2</t>
        </is>
      </c>
      <c r="L20" t="b">
        <v>0</v>
      </c>
      <c r="M20" t="b">
        <v>1</v>
      </c>
      <c r="N20" t="b">
        <v>0</v>
      </c>
      <c r="O20" t="b">
        <v>1</v>
      </c>
      <c r="P20" t="n">
        <v>3</v>
      </c>
      <c r="Q20" t="b">
        <v>1</v>
      </c>
      <c r="R20" t="b">
        <v>0</v>
      </c>
      <c r="S20" t="b">
        <v>1</v>
      </c>
      <c r="T20" t="n">
        <v>0</v>
      </c>
      <c r="V20" t="n">
        <v>80</v>
      </c>
      <c r="W20" t="n">
        <v>21</v>
      </c>
      <c r="X20" t="n">
        <v>98</v>
      </c>
      <c r="Z20" t="inlineStr">
        <is>
          <t>Low</t>
        </is>
      </c>
      <c r="AA20" t="b">
        <v>0</v>
      </c>
      <c r="AB20" t="b">
        <v>0</v>
      </c>
      <c r="AC20" t="n">
        <v>1</v>
      </c>
    </row>
    <row r="21">
      <c r="A21" t="inlineStr">
        <is>
          <t>2026-07-03</t>
        </is>
      </c>
      <c r="B21" t="inlineStr">
        <is>
          <t>9956961</t>
        </is>
      </c>
      <c r="C21" t="inlineStr">
        <is>
          <t>2400155</t>
        </is>
      </c>
      <c r="D21" t="inlineStr">
        <is>
          <t>Dev Team B</t>
        </is>
      </c>
      <c r="E21" t="inlineStr">
        <is>
          <t>VÕ BẢO MINH</t>
        </is>
      </c>
      <c r="F21" t="inlineStr">
        <is>
          <t>Go-live</t>
        </is>
      </c>
      <c r="G21" t="n">
        <v>7</v>
      </c>
      <c r="H21" t="inlineStr">
        <is>
          <t>Done</t>
        </is>
      </c>
      <c r="I21" t="inlineStr">
        <is>
          <t>Medium</t>
        </is>
      </c>
      <c r="J21" t="inlineStr">
        <is>
          <t>Q2</t>
        </is>
      </c>
      <c r="K21" t="inlineStr">
        <is>
          <t>2026Q2</t>
        </is>
      </c>
      <c r="L21" t="b">
        <v>0</v>
      </c>
      <c r="M21" t="b">
        <v>1</v>
      </c>
      <c r="N21" t="b">
        <v>0</v>
      </c>
      <c r="O21" t="b">
        <v>1</v>
      </c>
      <c r="P21" t="n">
        <v>2</v>
      </c>
      <c r="Q21" t="b">
        <v>1</v>
      </c>
      <c r="R21" t="b">
        <v>0</v>
      </c>
      <c r="S21" t="b">
        <v>1</v>
      </c>
      <c r="T21" t="n">
        <v>2</v>
      </c>
      <c r="V21" t="n">
        <v>80</v>
      </c>
      <c r="W21" t="n">
        <v>75</v>
      </c>
      <c r="X21" t="n">
        <v>77</v>
      </c>
      <c r="Z21" t="inlineStr">
        <is>
          <t>Low</t>
        </is>
      </c>
      <c r="AA21" t="b">
        <v>0</v>
      </c>
      <c r="AB21" t="b">
        <v>0</v>
      </c>
      <c r="AC21" t="n">
        <v>0</v>
      </c>
    </row>
    <row r="22">
      <c r="A22" t="inlineStr">
        <is>
          <t>2026-07-03</t>
        </is>
      </c>
      <c r="B22" t="inlineStr">
        <is>
          <t>10055837</t>
        </is>
      </c>
      <c r="C22" t="inlineStr">
        <is>
          <t>2423945</t>
        </is>
      </c>
      <c r="D22" t="inlineStr">
        <is>
          <t>Dev Team B</t>
        </is>
      </c>
      <c r="E22" t="inlineStr">
        <is>
          <t>VÕ BẢO MINH</t>
        </is>
      </c>
      <c r="F22" t="inlineStr">
        <is>
          <t>Go-live</t>
        </is>
      </c>
      <c r="G22" t="n">
        <v>7</v>
      </c>
      <c r="H22" t="inlineStr">
        <is>
          <t>Done</t>
        </is>
      </c>
      <c r="I22" t="inlineStr">
        <is>
          <t>Low</t>
        </is>
      </c>
      <c r="J22" t="inlineStr">
        <is>
          <t>Q2</t>
        </is>
      </c>
      <c r="K22" t="inlineStr">
        <is>
          <t>2026Q2</t>
        </is>
      </c>
      <c r="L22" t="b">
        <v>0</v>
      </c>
      <c r="M22" t="b">
        <v>1</v>
      </c>
      <c r="N22" t="b">
        <v>0</v>
      </c>
      <c r="O22" t="b">
        <v>0</v>
      </c>
      <c r="P22" t="n">
        <v>1</v>
      </c>
      <c r="Q22" t="b">
        <v>0</v>
      </c>
      <c r="S22" t="b">
        <v>0</v>
      </c>
      <c r="T22" t="n">
        <v>0</v>
      </c>
      <c r="V22" t="n">
        <v>59</v>
      </c>
      <c r="W22" t="n">
        <v>26</v>
      </c>
      <c r="X22" t="n">
        <v>28</v>
      </c>
      <c r="Z22" t="inlineStr">
        <is>
          <t>Low</t>
        </is>
      </c>
      <c r="AA22" t="b">
        <v>0</v>
      </c>
      <c r="AB22" t="b">
        <v>0</v>
      </c>
      <c r="AC22" t="n">
        <v>0</v>
      </c>
    </row>
    <row r="23">
      <c r="A23" t="inlineStr">
        <is>
          <t>2026-07-03</t>
        </is>
      </c>
      <c r="B23" t="inlineStr">
        <is>
          <t>9956498</t>
        </is>
      </c>
      <c r="C23" t="inlineStr">
        <is>
          <t>2154685</t>
        </is>
      </c>
      <c r="D23" t="inlineStr">
        <is>
          <t>Dev Team B</t>
        </is>
      </c>
      <c r="E23" t="inlineStr">
        <is>
          <t>VÕ BẢO MINH</t>
        </is>
      </c>
      <c r="F23" t="inlineStr">
        <is>
          <t>Go-live</t>
        </is>
      </c>
      <c r="G23" t="n">
        <v>7</v>
      </c>
      <c r="H23" t="inlineStr">
        <is>
          <t>Done</t>
        </is>
      </c>
      <c r="I23" t="inlineStr">
        <is>
          <t>Medium</t>
        </is>
      </c>
      <c r="J23" t="inlineStr">
        <is>
          <t>Q2</t>
        </is>
      </c>
      <c r="K23" t="inlineStr">
        <is>
          <t>2026Q2</t>
        </is>
      </c>
      <c r="L23" t="b">
        <v>0</v>
      </c>
      <c r="M23" t="b">
        <v>1</v>
      </c>
      <c r="N23" t="b">
        <v>0</v>
      </c>
      <c r="O23" t="b">
        <v>1</v>
      </c>
      <c r="P23" t="n">
        <v>2</v>
      </c>
      <c r="Q23" t="b">
        <v>1</v>
      </c>
      <c r="R23" t="b">
        <v>0</v>
      </c>
      <c r="S23" t="b">
        <v>1</v>
      </c>
      <c r="T23" t="n">
        <v>6</v>
      </c>
      <c r="V23" t="n">
        <v>80</v>
      </c>
      <c r="W23" t="n">
        <v>85</v>
      </c>
      <c r="X23" t="n">
        <v>175</v>
      </c>
      <c r="Z23" t="inlineStr">
        <is>
          <t>Low</t>
        </is>
      </c>
      <c r="AA23" t="b">
        <v>0</v>
      </c>
      <c r="AB23" t="b">
        <v>0</v>
      </c>
      <c r="AC23" t="n">
        <v>1</v>
      </c>
    </row>
    <row r="24">
      <c r="A24" t="inlineStr">
        <is>
          <t>2026-07-03</t>
        </is>
      </c>
      <c r="B24" t="inlineStr">
        <is>
          <t>9956496</t>
        </is>
      </c>
      <c r="C24" t="inlineStr">
        <is>
          <t>2385402</t>
        </is>
      </c>
      <c r="D24" t="inlineStr">
        <is>
          <t>Dev Team B</t>
        </is>
      </c>
      <c r="E24" t="inlineStr">
        <is>
          <t>VÕ BẢO MINH</t>
        </is>
      </c>
      <c r="F24" t="inlineStr">
        <is>
          <t>Go-live</t>
        </is>
      </c>
      <c r="G24" t="n">
        <v>7</v>
      </c>
      <c r="H24" t="inlineStr">
        <is>
          <t>Done</t>
        </is>
      </c>
      <c r="I24" t="inlineStr">
        <is>
          <t>Low</t>
        </is>
      </c>
      <c r="J24" t="inlineStr">
        <is>
          <t>Q2</t>
        </is>
      </c>
      <c r="K24" t="inlineStr">
        <is>
          <t>2026Q2</t>
        </is>
      </c>
      <c r="L24" t="b">
        <v>0</v>
      </c>
      <c r="M24" t="b">
        <v>1</v>
      </c>
      <c r="N24" t="b">
        <v>0</v>
      </c>
      <c r="O24" t="b">
        <v>0</v>
      </c>
      <c r="P24" t="n">
        <v>1</v>
      </c>
      <c r="Q24" t="b">
        <v>0</v>
      </c>
      <c r="S24" t="b">
        <v>0</v>
      </c>
      <c r="T24" t="n">
        <v>0</v>
      </c>
      <c r="V24" t="n">
        <v>80</v>
      </c>
      <c r="W24" t="n">
        <v>11</v>
      </c>
      <c r="X24" t="n">
        <v>29</v>
      </c>
      <c r="Z24" t="inlineStr">
        <is>
          <t>Low</t>
        </is>
      </c>
      <c r="AA24" t="b">
        <v>0</v>
      </c>
      <c r="AB24" t="b">
        <v>0</v>
      </c>
      <c r="AC24" t="n">
        <v>1</v>
      </c>
    </row>
    <row r="25">
      <c r="A25" t="inlineStr">
        <is>
          <t>2026-07-03</t>
        </is>
      </c>
      <c r="B25" t="inlineStr">
        <is>
          <t>9956499</t>
        </is>
      </c>
      <c r="C25" t="inlineStr">
        <is>
          <t>2197982</t>
        </is>
      </c>
      <c r="D25" t="inlineStr">
        <is>
          <t>Dev Team B</t>
        </is>
      </c>
      <c r="E25" t="inlineStr">
        <is>
          <t>VÕ BẢO MINH</t>
        </is>
      </c>
      <c r="F25" t="inlineStr">
        <is>
          <t>Go-live</t>
        </is>
      </c>
      <c r="G25" t="n">
        <v>7</v>
      </c>
      <c r="H25" t="inlineStr">
        <is>
          <t>Done</t>
        </is>
      </c>
      <c r="I25" t="inlineStr">
        <is>
          <t>Low</t>
        </is>
      </c>
      <c r="J25" t="inlineStr">
        <is>
          <t>Q2</t>
        </is>
      </c>
      <c r="K25" t="inlineStr">
        <is>
          <t>2026Q2</t>
        </is>
      </c>
      <c r="L25" t="b">
        <v>0</v>
      </c>
      <c r="M25" t="b">
        <v>1</v>
      </c>
      <c r="N25" t="b">
        <v>0</v>
      </c>
      <c r="O25" t="b">
        <v>0</v>
      </c>
      <c r="P25" t="n">
        <v>1</v>
      </c>
      <c r="Q25" t="b">
        <v>0</v>
      </c>
      <c r="S25" t="b">
        <v>0</v>
      </c>
      <c r="T25" t="n">
        <v>0</v>
      </c>
      <c r="V25" t="n">
        <v>80</v>
      </c>
      <c r="W25" t="n">
        <v>42</v>
      </c>
      <c r="X25" t="n">
        <v>139</v>
      </c>
      <c r="Z25" t="inlineStr">
        <is>
          <t>Low</t>
        </is>
      </c>
      <c r="AA25" t="b">
        <v>0</v>
      </c>
      <c r="AB25" t="b">
        <v>0</v>
      </c>
      <c r="AC25" t="n">
        <v>1</v>
      </c>
    </row>
    <row r="26">
      <c r="A26" t="inlineStr">
        <is>
          <t>2026-07-03</t>
        </is>
      </c>
      <c r="B26" t="inlineStr">
        <is>
          <t>10334131</t>
        </is>
      </c>
      <c r="C26" t="inlineStr">
        <is>
          <t>2506884</t>
        </is>
      </c>
      <c r="D26" t="inlineStr">
        <is>
          <t>Team Mobile</t>
        </is>
      </c>
      <c r="E26" t="inlineStr">
        <is>
          <t>VÕ THANH PHONG</t>
        </is>
      </c>
      <c r="F26" t="inlineStr">
        <is>
          <t>Backlog</t>
        </is>
      </c>
      <c r="G26" t="n">
        <v>0</v>
      </c>
      <c r="H26" t="inlineStr">
        <is>
          <t>Todo</t>
        </is>
      </c>
      <c r="I26" t="inlineStr">
        <is>
          <t>Low</t>
        </is>
      </c>
      <c r="J26" t="inlineStr">
        <is>
          <t>Q3</t>
        </is>
      </c>
      <c r="K26" t="inlineStr"/>
      <c r="L26" t="b">
        <v>0</v>
      </c>
      <c r="M26" t="b">
        <v>0</v>
      </c>
      <c r="N26" t="b">
        <v>0</v>
      </c>
      <c r="O26" t="b">
        <v>0</v>
      </c>
      <c r="P26" t="n">
        <v>1</v>
      </c>
      <c r="Q26" t="b">
        <v>0</v>
      </c>
      <c r="S26" t="b">
        <v>0</v>
      </c>
      <c r="T26" t="n">
        <v>0</v>
      </c>
      <c r="V26" t="n">
        <v>2</v>
      </c>
      <c r="Z26" t="inlineStr">
        <is>
          <t>Low</t>
        </is>
      </c>
      <c r="AA26" t="b">
        <v>0</v>
      </c>
      <c r="AB26" t="b">
        <v>0</v>
      </c>
      <c r="AC26" t="n">
        <v>0</v>
      </c>
    </row>
    <row r="27">
      <c r="A27" t="inlineStr">
        <is>
          <t>2026-07-03</t>
        </is>
      </c>
      <c r="B27" t="inlineStr">
        <is>
          <t>10334133</t>
        </is>
      </c>
      <c r="C27" t="inlineStr">
        <is>
          <t>2526008</t>
        </is>
      </c>
      <c r="D27" t="inlineStr">
        <is>
          <t>Team Mobile</t>
        </is>
      </c>
      <c r="E27" t="inlineStr">
        <is>
          <t>VÕ THANH PHONG</t>
        </is>
      </c>
      <c r="F27" t="inlineStr">
        <is>
          <t>Backlog</t>
        </is>
      </c>
      <c r="G27" t="n">
        <v>0</v>
      </c>
      <c r="H27" t="inlineStr">
        <is>
          <t>Todo</t>
        </is>
      </c>
      <c r="I27" t="inlineStr">
        <is>
          <t>Low</t>
        </is>
      </c>
      <c r="J27" t="inlineStr">
        <is>
          <t>Q3</t>
        </is>
      </c>
      <c r="K27" t="inlineStr"/>
      <c r="L27" t="b">
        <v>0</v>
      </c>
      <c r="M27" t="b">
        <v>0</v>
      </c>
      <c r="N27" t="b">
        <v>0</v>
      </c>
      <c r="O27" t="b">
        <v>0</v>
      </c>
      <c r="P27" t="n">
        <v>1</v>
      </c>
      <c r="Q27" t="b">
        <v>0</v>
      </c>
      <c r="S27" t="b">
        <v>0</v>
      </c>
      <c r="T27" t="n">
        <v>0</v>
      </c>
      <c r="V27" t="n">
        <v>2</v>
      </c>
      <c r="Z27" t="inlineStr">
        <is>
          <t>Low</t>
        </is>
      </c>
      <c r="AA27" t="b">
        <v>0</v>
      </c>
      <c r="AB27" t="b">
        <v>0</v>
      </c>
      <c r="AC27" t="n">
        <v>0</v>
      </c>
    </row>
    <row r="28">
      <c r="A28" t="inlineStr">
        <is>
          <t>2026-07-03</t>
        </is>
      </c>
      <c r="B28" t="inlineStr">
        <is>
          <t>10209339</t>
        </is>
      </c>
      <c r="C28" t="inlineStr">
        <is>
          <t>2482578</t>
        </is>
      </c>
      <c r="D28" t="inlineStr">
        <is>
          <t>Team Mobile</t>
        </is>
      </c>
      <c r="E28" t="inlineStr">
        <is>
          <t>VÕ THANH PHONG</t>
        </is>
      </c>
      <c r="F28" t="inlineStr">
        <is>
          <t>Backlog</t>
        </is>
      </c>
      <c r="G28" t="n">
        <v>0</v>
      </c>
      <c r="H28" t="inlineStr">
        <is>
          <t>Todo</t>
        </is>
      </c>
      <c r="I28" t="inlineStr">
        <is>
          <t>Low</t>
        </is>
      </c>
      <c r="J28" t="inlineStr">
        <is>
          <t>Q3</t>
        </is>
      </c>
      <c r="K28" t="inlineStr"/>
      <c r="L28" t="b">
        <v>0</v>
      </c>
      <c r="M28" t="b">
        <v>0</v>
      </c>
      <c r="N28" t="b">
        <v>0</v>
      </c>
      <c r="O28" t="b">
        <v>0</v>
      </c>
      <c r="P28" t="n">
        <v>1</v>
      </c>
      <c r="Q28" t="b">
        <v>0</v>
      </c>
      <c r="S28" t="b">
        <v>0</v>
      </c>
      <c r="T28" t="n">
        <v>0</v>
      </c>
      <c r="V28" t="n">
        <v>28</v>
      </c>
      <c r="Y28" t="n">
        <v>2</v>
      </c>
      <c r="Z28" t="inlineStr">
        <is>
          <t>Low</t>
        </is>
      </c>
      <c r="AA28" t="b">
        <v>0</v>
      </c>
      <c r="AB28" t="b">
        <v>1</v>
      </c>
      <c r="AC28" t="n">
        <v>0</v>
      </c>
    </row>
    <row r="29">
      <c r="A29" t="inlineStr">
        <is>
          <t>2026-07-03</t>
        </is>
      </c>
      <c r="B29" t="inlineStr">
        <is>
          <t>10334127</t>
        </is>
      </c>
      <c r="C29" t="inlineStr">
        <is>
          <t>2216483</t>
        </is>
      </c>
      <c r="D29" t="inlineStr">
        <is>
          <t>Team Mobile</t>
        </is>
      </c>
      <c r="E29" t="inlineStr">
        <is>
          <t>VÕ THANH PHONG</t>
        </is>
      </c>
      <c r="F29" t="inlineStr">
        <is>
          <t>Web B Coding</t>
        </is>
      </c>
      <c r="G29" t="n">
        <v>3</v>
      </c>
      <c r="H29" t="inlineStr">
        <is>
          <t>Doing</t>
        </is>
      </c>
      <c r="I29" t="inlineStr">
        <is>
          <t>Low</t>
        </is>
      </c>
      <c r="J29" t="inlineStr">
        <is>
          <t>Q3</t>
        </is>
      </c>
      <c r="K29" t="inlineStr"/>
      <c r="L29" t="b">
        <v>0</v>
      </c>
      <c r="M29" t="b">
        <v>0</v>
      </c>
      <c r="N29" t="b">
        <v>1</v>
      </c>
      <c r="O29" t="b">
        <v>1</v>
      </c>
      <c r="P29" t="n">
        <v>2</v>
      </c>
      <c r="Q29" t="b">
        <v>0</v>
      </c>
      <c r="S29" t="b">
        <v>0</v>
      </c>
      <c r="T29" t="n">
        <v>0</v>
      </c>
      <c r="V29" t="n">
        <v>2</v>
      </c>
      <c r="Z29" t="inlineStr">
        <is>
          <t>Medium</t>
        </is>
      </c>
      <c r="AA29" t="b">
        <v>0</v>
      </c>
      <c r="AB29" t="b">
        <v>0</v>
      </c>
      <c r="AC29" t="n">
        <v>0</v>
      </c>
    </row>
    <row r="30">
      <c r="A30" t="inlineStr">
        <is>
          <t>2026-07-03</t>
        </is>
      </c>
      <c r="B30" t="inlineStr">
        <is>
          <t>10334124</t>
        </is>
      </c>
      <c r="C30" t="inlineStr">
        <is>
          <t>2540233</t>
        </is>
      </c>
      <c r="D30" t="inlineStr">
        <is>
          <t>Team Mobile</t>
        </is>
      </c>
      <c r="E30" t="inlineStr">
        <is>
          <t>VÕ THANH PHONG</t>
        </is>
      </c>
      <c r="F30" t="inlineStr">
        <is>
          <t>Discuss Req</t>
        </is>
      </c>
      <c r="G30" t="n">
        <v>1</v>
      </c>
      <c r="H30" t="inlineStr">
        <is>
          <t>Doing</t>
        </is>
      </c>
      <c r="I30" t="inlineStr">
        <is>
          <t>Low</t>
        </is>
      </c>
      <c r="J30" t="inlineStr">
        <is>
          <t>Q3</t>
        </is>
      </c>
      <c r="K30" t="inlineStr"/>
      <c r="L30" t="b">
        <v>0</v>
      </c>
      <c r="M30" t="b">
        <v>0</v>
      </c>
      <c r="N30" t="b">
        <v>1</v>
      </c>
      <c r="O30" t="b">
        <v>1</v>
      </c>
      <c r="P30" t="n">
        <v>2</v>
      </c>
      <c r="Q30" t="b">
        <v>0</v>
      </c>
      <c r="S30" t="b">
        <v>0</v>
      </c>
      <c r="T30" t="n">
        <v>0</v>
      </c>
      <c r="V30" t="n">
        <v>2</v>
      </c>
      <c r="Z30" t="inlineStr">
        <is>
          <t>Medium</t>
        </is>
      </c>
      <c r="AA30" t="b">
        <v>0</v>
      </c>
      <c r="AB30" t="b">
        <v>0</v>
      </c>
      <c r="AC30" t="n">
        <v>0</v>
      </c>
    </row>
    <row r="31">
      <c r="A31" t="inlineStr">
        <is>
          <t>2026-07-03</t>
        </is>
      </c>
      <c r="B31" t="inlineStr">
        <is>
          <t>10209283</t>
        </is>
      </c>
      <c r="C31" t="inlineStr">
        <is>
          <t>2415056</t>
        </is>
      </c>
      <c r="D31" t="inlineStr">
        <is>
          <t>Team Mobile</t>
        </is>
      </c>
      <c r="E31" t="inlineStr">
        <is>
          <t>VÕ THANH PHONG</t>
        </is>
      </c>
      <c r="F31" t="inlineStr">
        <is>
          <t>Backlog</t>
        </is>
      </c>
      <c r="G31" t="n">
        <v>0</v>
      </c>
      <c r="H31" t="inlineStr">
        <is>
          <t>Todo</t>
        </is>
      </c>
      <c r="I31" t="inlineStr">
        <is>
          <t>Low</t>
        </is>
      </c>
      <c r="J31" t="inlineStr">
        <is>
          <t>Q3</t>
        </is>
      </c>
      <c r="K31" t="inlineStr"/>
      <c r="L31" t="b">
        <v>0</v>
      </c>
      <c r="M31" t="b">
        <v>0</v>
      </c>
      <c r="N31" t="b">
        <v>0</v>
      </c>
      <c r="O31" t="b">
        <v>1</v>
      </c>
      <c r="P31" t="n">
        <v>2</v>
      </c>
      <c r="Q31" t="b">
        <v>0</v>
      </c>
      <c r="S31" t="b">
        <v>0</v>
      </c>
      <c r="T31" t="n">
        <v>0</v>
      </c>
      <c r="V31" t="n">
        <v>28</v>
      </c>
      <c r="Y31" t="n">
        <v>2</v>
      </c>
      <c r="Z31" t="inlineStr">
        <is>
          <t>Low</t>
        </is>
      </c>
      <c r="AA31" t="b">
        <v>0</v>
      </c>
      <c r="AB31" t="b">
        <v>1</v>
      </c>
      <c r="AC31" t="n">
        <v>0</v>
      </c>
    </row>
    <row r="32">
      <c r="A32" t="inlineStr">
        <is>
          <t>2026-07-03</t>
        </is>
      </c>
      <c r="B32" t="inlineStr">
        <is>
          <t>10334126</t>
        </is>
      </c>
      <c r="C32" t="inlineStr">
        <is>
          <t>2310394</t>
        </is>
      </c>
      <c r="D32" t="inlineStr">
        <is>
          <t>Team Mobile</t>
        </is>
      </c>
      <c r="E32" t="inlineStr">
        <is>
          <t>VÕ THANH PHONG</t>
        </is>
      </c>
      <c r="F32" t="inlineStr">
        <is>
          <t>Waiting FTL</t>
        </is>
      </c>
      <c r="G32" t="n">
        <v>3</v>
      </c>
      <c r="H32" t="inlineStr">
        <is>
          <t>Blocked</t>
        </is>
      </c>
      <c r="I32" t="inlineStr">
        <is>
          <t>Low</t>
        </is>
      </c>
      <c r="J32" t="inlineStr">
        <is>
          <t>Q3</t>
        </is>
      </c>
      <c r="K32" t="inlineStr"/>
      <c r="L32" t="b">
        <v>0</v>
      </c>
      <c r="M32" t="b">
        <v>0</v>
      </c>
      <c r="N32" t="b">
        <v>0</v>
      </c>
      <c r="O32" t="b">
        <v>1</v>
      </c>
      <c r="P32" t="n">
        <v>2</v>
      </c>
      <c r="Q32" t="b">
        <v>0</v>
      </c>
      <c r="S32" t="b">
        <v>0</v>
      </c>
      <c r="T32" t="n">
        <v>0</v>
      </c>
      <c r="V32" t="n">
        <v>2</v>
      </c>
      <c r="Z32" t="inlineStr">
        <is>
          <t>High</t>
        </is>
      </c>
      <c r="AA32" t="b">
        <v>1</v>
      </c>
      <c r="AB32" t="b">
        <v>0</v>
      </c>
      <c r="AC32" t="n">
        <v>0</v>
      </c>
    </row>
    <row r="33">
      <c r="A33" t="inlineStr">
        <is>
          <t>2026-07-03</t>
        </is>
      </c>
      <c r="B33" t="inlineStr">
        <is>
          <t>10209368</t>
        </is>
      </c>
      <c r="C33" t="inlineStr">
        <is>
          <t>2291957</t>
        </is>
      </c>
      <c r="D33" t="inlineStr">
        <is>
          <t>Team Mobile</t>
        </is>
      </c>
      <c r="E33" t="inlineStr">
        <is>
          <t>VÕ THANH PHONG</t>
        </is>
      </c>
      <c r="F33" t="inlineStr">
        <is>
          <t>Discuss Req</t>
        </is>
      </c>
      <c r="G33" t="n">
        <v>1</v>
      </c>
      <c r="H33" t="inlineStr">
        <is>
          <t>Doing</t>
        </is>
      </c>
      <c r="I33" t="inlineStr">
        <is>
          <t>Low</t>
        </is>
      </c>
      <c r="J33" t="inlineStr">
        <is>
          <t>Q3</t>
        </is>
      </c>
      <c r="K33" t="inlineStr"/>
      <c r="L33" t="b">
        <v>0</v>
      </c>
      <c r="M33" t="b">
        <v>0</v>
      </c>
      <c r="N33" t="b">
        <v>1</v>
      </c>
      <c r="O33" t="b">
        <v>0</v>
      </c>
      <c r="P33" t="n">
        <v>1</v>
      </c>
      <c r="Q33" t="b">
        <v>0</v>
      </c>
      <c r="S33" t="b">
        <v>0</v>
      </c>
      <c r="T33" t="n">
        <v>0</v>
      </c>
      <c r="V33" t="n">
        <v>28</v>
      </c>
      <c r="Y33" t="n">
        <v>2</v>
      </c>
      <c r="Z33" t="inlineStr">
        <is>
          <t>Medium</t>
        </is>
      </c>
      <c r="AA33" t="b">
        <v>0</v>
      </c>
      <c r="AB33" t="b">
        <v>1</v>
      </c>
      <c r="AC33" t="n">
        <v>0</v>
      </c>
    </row>
    <row r="34">
      <c r="A34" t="inlineStr">
        <is>
          <t>2026-07-03</t>
        </is>
      </c>
      <c r="B34" t="inlineStr">
        <is>
          <t>9953690</t>
        </is>
      </c>
      <c r="C34" t="inlineStr">
        <is>
          <t>2397922</t>
        </is>
      </c>
      <c r="D34" t="inlineStr">
        <is>
          <t>Team Mobile</t>
        </is>
      </c>
      <c r="E34" t="inlineStr">
        <is>
          <t>VÕ THANH PHONG</t>
        </is>
      </c>
      <c r="F34" t="inlineStr">
        <is>
          <t>Dev To do</t>
        </is>
      </c>
      <c r="G34" t="n">
        <v>3</v>
      </c>
      <c r="H34" t="inlineStr">
        <is>
          <t>Todo</t>
        </is>
      </c>
      <c r="I34" t="inlineStr">
        <is>
          <t>Low</t>
        </is>
      </c>
      <c r="J34" t="inlineStr">
        <is>
          <t>Q3</t>
        </is>
      </c>
      <c r="K34" t="inlineStr"/>
      <c r="L34" t="b">
        <v>0</v>
      </c>
      <c r="M34" t="b">
        <v>0</v>
      </c>
      <c r="N34" t="b">
        <v>0</v>
      </c>
      <c r="O34" t="b">
        <v>0</v>
      </c>
      <c r="P34" t="n">
        <v>1</v>
      </c>
      <c r="Q34" t="b">
        <v>0</v>
      </c>
      <c r="S34" t="b">
        <v>0</v>
      </c>
      <c r="T34" t="n">
        <v>0</v>
      </c>
      <c r="V34" t="n">
        <v>81</v>
      </c>
      <c r="Y34" t="n">
        <v>2</v>
      </c>
      <c r="Z34" t="inlineStr">
        <is>
          <t>Low</t>
        </is>
      </c>
      <c r="AA34" t="b">
        <v>0</v>
      </c>
      <c r="AB34" t="b">
        <v>1</v>
      </c>
      <c r="AC34" t="n">
        <v>0</v>
      </c>
    </row>
    <row r="35">
      <c r="A35" t="inlineStr">
        <is>
          <t>2026-07-03</t>
        </is>
      </c>
      <c r="B35" t="inlineStr">
        <is>
          <t>9739425</t>
        </is>
      </c>
      <c r="C35" t="inlineStr">
        <is>
          <t>2317336</t>
        </is>
      </c>
      <c r="D35" t="inlineStr">
        <is>
          <t>Team Mobile</t>
        </is>
      </c>
      <c r="E35" t="inlineStr"/>
      <c r="F35" t="inlineStr">
        <is>
          <t>Design review</t>
        </is>
      </c>
      <c r="G35" t="n">
        <v>2</v>
      </c>
      <c r="H35" t="inlineStr">
        <is>
          <t>Doing</t>
        </is>
      </c>
      <c r="I35" t="inlineStr">
        <is>
          <t>Low</t>
        </is>
      </c>
      <c r="J35" t="inlineStr">
        <is>
          <t>Q3</t>
        </is>
      </c>
      <c r="K35" t="inlineStr"/>
      <c r="L35" t="b">
        <v>0</v>
      </c>
      <c r="M35" t="b">
        <v>0</v>
      </c>
      <c r="N35" t="b">
        <v>1</v>
      </c>
      <c r="O35" t="b">
        <v>0</v>
      </c>
      <c r="P35" t="n">
        <v>1</v>
      </c>
      <c r="Q35" t="b">
        <v>0</v>
      </c>
      <c r="S35" t="b">
        <v>0</v>
      </c>
      <c r="T35" t="n">
        <v>0</v>
      </c>
      <c r="V35" t="n">
        <v>122</v>
      </c>
      <c r="Y35" t="n">
        <v>2</v>
      </c>
      <c r="Z35" t="inlineStr">
        <is>
          <t>Medium</t>
        </is>
      </c>
      <c r="AA35" t="b">
        <v>0</v>
      </c>
      <c r="AB35" t="b">
        <v>1</v>
      </c>
      <c r="AC35" t="n">
        <v>0</v>
      </c>
    </row>
    <row r="36">
      <c r="A36" t="inlineStr">
        <is>
          <t>2026-07-03</t>
        </is>
      </c>
      <c r="B36" t="inlineStr">
        <is>
          <t>9953664</t>
        </is>
      </c>
      <c r="C36" t="inlineStr">
        <is>
          <t>2330515</t>
        </is>
      </c>
      <c r="D36" t="inlineStr">
        <is>
          <t>Team Mobile</t>
        </is>
      </c>
      <c r="E36" t="inlineStr">
        <is>
          <t>VÕ THANH PHONG</t>
        </is>
      </c>
      <c r="F36" t="inlineStr">
        <is>
          <t>Design UI/UX</t>
        </is>
      </c>
      <c r="G36" t="n">
        <v>2</v>
      </c>
      <c r="H36" t="inlineStr">
        <is>
          <t>Doing</t>
        </is>
      </c>
      <c r="I36" t="inlineStr">
        <is>
          <t>Low</t>
        </is>
      </c>
      <c r="J36" t="inlineStr">
        <is>
          <t>Q3</t>
        </is>
      </c>
      <c r="K36" t="inlineStr"/>
      <c r="L36" t="b">
        <v>0</v>
      </c>
      <c r="M36" t="b">
        <v>0</v>
      </c>
      <c r="N36" t="b">
        <v>1</v>
      </c>
      <c r="O36" t="b">
        <v>1</v>
      </c>
      <c r="P36" t="n">
        <v>2</v>
      </c>
      <c r="Q36" t="b">
        <v>0</v>
      </c>
      <c r="S36" t="b">
        <v>0</v>
      </c>
      <c r="T36" t="n">
        <v>0</v>
      </c>
      <c r="V36" t="n">
        <v>81</v>
      </c>
      <c r="Y36" t="n">
        <v>2</v>
      </c>
      <c r="Z36" t="inlineStr">
        <is>
          <t>Medium</t>
        </is>
      </c>
      <c r="AA36" t="b">
        <v>0</v>
      </c>
      <c r="AB36" t="b">
        <v>1</v>
      </c>
      <c r="AC36" t="n">
        <v>0</v>
      </c>
    </row>
    <row r="37">
      <c r="A37" t="inlineStr">
        <is>
          <t>2026-07-03</t>
        </is>
      </c>
      <c r="B37" t="inlineStr">
        <is>
          <t>10334129</t>
        </is>
      </c>
      <c r="C37" t="inlineStr">
        <is>
          <t>2438262</t>
        </is>
      </c>
      <c r="D37" t="inlineStr">
        <is>
          <t>Team Mobile</t>
        </is>
      </c>
      <c r="E37" t="inlineStr">
        <is>
          <t>VÕ THANH PHONG</t>
        </is>
      </c>
      <c r="F37" t="inlineStr">
        <is>
          <t>Backlog</t>
        </is>
      </c>
      <c r="G37" t="n">
        <v>0</v>
      </c>
      <c r="H37" t="inlineStr">
        <is>
          <t>Todo</t>
        </is>
      </c>
      <c r="I37" t="inlineStr">
        <is>
          <t>Low</t>
        </is>
      </c>
      <c r="J37" t="inlineStr">
        <is>
          <t>Q3</t>
        </is>
      </c>
      <c r="K37" t="inlineStr"/>
      <c r="L37" t="b">
        <v>0</v>
      </c>
      <c r="M37" t="b">
        <v>0</v>
      </c>
      <c r="N37" t="b">
        <v>0</v>
      </c>
      <c r="O37" t="b">
        <v>0</v>
      </c>
      <c r="P37" t="n">
        <v>1</v>
      </c>
      <c r="Q37" t="b">
        <v>0</v>
      </c>
      <c r="S37" t="b">
        <v>0</v>
      </c>
      <c r="T37" t="n">
        <v>0</v>
      </c>
      <c r="V37" t="n">
        <v>2</v>
      </c>
      <c r="Z37" t="inlineStr">
        <is>
          <t>Low</t>
        </is>
      </c>
      <c r="AA37" t="b">
        <v>0</v>
      </c>
      <c r="AB37" t="b">
        <v>0</v>
      </c>
      <c r="AC37" t="n">
        <v>0</v>
      </c>
    </row>
    <row r="38">
      <c r="A38" t="inlineStr">
        <is>
          <t>2026-07-03</t>
        </is>
      </c>
      <c r="B38" t="inlineStr">
        <is>
          <t>9739426</t>
        </is>
      </c>
      <c r="C38" t="inlineStr">
        <is>
          <t>2289280</t>
        </is>
      </c>
      <c r="D38" t="inlineStr">
        <is>
          <t>Team Mobile</t>
        </is>
      </c>
      <c r="E38" t="inlineStr"/>
      <c r="F38" t="inlineStr">
        <is>
          <t>Dev To do</t>
        </is>
      </c>
      <c r="G38" t="n">
        <v>3</v>
      </c>
      <c r="H38" t="inlineStr">
        <is>
          <t>Todo</t>
        </is>
      </c>
      <c r="I38" t="inlineStr">
        <is>
          <t>Low</t>
        </is>
      </c>
      <c r="J38" t="inlineStr">
        <is>
          <t>Q3</t>
        </is>
      </c>
      <c r="K38" t="inlineStr"/>
      <c r="L38" t="b">
        <v>0</v>
      </c>
      <c r="M38" t="b">
        <v>0</v>
      </c>
      <c r="N38" t="b">
        <v>0</v>
      </c>
      <c r="O38" t="b">
        <v>1</v>
      </c>
      <c r="P38" t="n">
        <v>2</v>
      </c>
      <c r="Q38" t="b">
        <v>0</v>
      </c>
      <c r="S38" t="b">
        <v>0</v>
      </c>
      <c r="T38" t="n">
        <v>0</v>
      </c>
      <c r="V38" t="n">
        <v>122</v>
      </c>
      <c r="Y38" t="n">
        <v>2</v>
      </c>
      <c r="Z38" t="inlineStr">
        <is>
          <t>Low</t>
        </is>
      </c>
      <c r="AA38" t="b">
        <v>0</v>
      </c>
      <c r="AB38" t="b">
        <v>1</v>
      </c>
      <c r="AC38" t="n">
        <v>0</v>
      </c>
    </row>
    <row r="39">
      <c r="A39" t="inlineStr">
        <is>
          <t>2026-07-03</t>
        </is>
      </c>
      <c r="B39" t="inlineStr">
        <is>
          <t>9953685</t>
        </is>
      </c>
      <c r="C39" t="inlineStr">
        <is>
          <t>2307583</t>
        </is>
      </c>
      <c r="D39" t="inlineStr">
        <is>
          <t>Team Mobile</t>
        </is>
      </c>
      <c r="E39" t="inlineStr">
        <is>
          <t>VÕ THANH PHONG</t>
        </is>
      </c>
      <c r="F39" t="inlineStr">
        <is>
          <t>Discuss Req</t>
        </is>
      </c>
      <c r="G39" t="n">
        <v>1</v>
      </c>
      <c r="H39" t="inlineStr">
        <is>
          <t>Todo</t>
        </is>
      </c>
      <c r="I39" t="inlineStr">
        <is>
          <t>Low</t>
        </is>
      </c>
      <c r="J39" t="inlineStr">
        <is>
          <t>Backlog</t>
        </is>
      </c>
      <c r="K39" t="inlineStr"/>
      <c r="L39" t="b">
        <v>0</v>
      </c>
      <c r="M39" t="b">
        <v>0</v>
      </c>
      <c r="N39" t="b">
        <v>0</v>
      </c>
      <c r="O39" t="b">
        <v>0</v>
      </c>
      <c r="P39" t="n">
        <v>1</v>
      </c>
      <c r="Q39" t="b">
        <v>0</v>
      </c>
      <c r="S39" t="b">
        <v>0</v>
      </c>
      <c r="T39" t="n">
        <v>0</v>
      </c>
      <c r="V39" t="n">
        <v>81</v>
      </c>
      <c r="Y39" t="n">
        <v>2</v>
      </c>
      <c r="Z39" t="inlineStr">
        <is>
          <t>Low</t>
        </is>
      </c>
      <c r="AA39" t="b">
        <v>0</v>
      </c>
      <c r="AB39" t="b">
        <v>1</v>
      </c>
      <c r="AC39" t="n">
        <v>0</v>
      </c>
    </row>
    <row r="40">
      <c r="A40" t="inlineStr">
        <is>
          <t>2026-07-03</t>
        </is>
      </c>
      <c r="B40" t="inlineStr">
        <is>
          <t>9953687</t>
        </is>
      </c>
      <c r="C40" t="inlineStr">
        <is>
          <t>2376660</t>
        </is>
      </c>
      <c r="D40" t="inlineStr">
        <is>
          <t>Team Mobile</t>
        </is>
      </c>
      <c r="E40" t="inlineStr">
        <is>
          <t>VÕ THANH PHONG</t>
        </is>
      </c>
      <c r="F40" t="inlineStr">
        <is>
          <t>Backlog</t>
        </is>
      </c>
      <c r="G40" t="n">
        <v>0</v>
      </c>
      <c r="H40" t="inlineStr">
        <is>
          <t>Todo</t>
        </is>
      </c>
      <c r="I40" t="inlineStr">
        <is>
          <t>Low</t>
        </is>
      </c>
      <c r="J40" t="inlineStr">
        <is>
          <t>Backlog</t>
        </is>
      </c>
      <c r="K40" t="inlineStr"/>
      <c r="L40" t="b">
        <v>0</v>
      </c>
      <c r="M40" t="b">
        <v>0</v>
      </c>
      <c r="N40" t="b">
        <v>0</v>
      </c>
      <c r="O40" t="b">
        <v>0</v>
      </c>
      <c r="P40" t="n">
        <v>1</v>
      </c>
      <c r="Q40" t="b">
        <v>0</v>
      </c>
      <c r="S40" t="b">
        <v>0</v>
      </c>
      <c r="T40" t="n">
        <v>0</v>
      </c>
      <c r="V40" t="n">
        <v>81</v>
      </c>
      <c r="Y40" t="n">
        <v>2</v>
      </c>
      <c r="Z40" t="inlineStr">
        <is>
          <t>Low</t>
        </is>
      </c>
      <c r="AA40" t="b">
        <v>0</v>
      </c>
      <c r="AB40" t="b">
        <v>1</v>
      </c>
      <c r="AC40" t="n">
        <v>0</v>
      </c>
    </row>
    <row r="41">
      <c r="A41" t="inlineStr">
        <is>
          <t>2026-07-03</t>
        </is>
      </c>
      <c r="B41" t="inlineStr">
        <is>
          <t>9739412</t>
        </is>
      </c>
      <c r="C41" t="inlineStr">
        <is>
          <t>2174942</t>
        </is>
      </c>
      <c r="D41" t="inlineStr">
        <is>
          <t>Team Mobile</t>
        </is>
      </c>
      <c r="E41" t="inlineStr">
        <is>
          <t>VÕ THANH PHONG</t>
        </is>
      </c>
      <c r="F41" t="inlineStr">
        <is>
          <t>Pending</t>
        </is>
      </c>
      <c r="G41" t="n">
        <v>3</v>
      </c>
      <c r="H41" t="inlineStr">
        <is>
          <t>Blocked</t>
        </is>
      </c>
      <c r="I41" t="inlineStr">
        <is>
          <t>Low</t>
        </is>
      </c>
      <c r="J41" t="inlineStr">
        <is>
          <t>Backlog</t>
        </is>
      </c>
      <c r="K41" t="inlineStr">
        <is>
          <t>2026Q1</t>
        </is>
      </c>
      <c r="L41" t="b">
        <v>0</v>
      </c>
      <c r="M41" t="b">
        <v>0</v>
      </c>
      <c r="N41" t="b">
        <v>0</v>
      </c>
      <c r="O41" t="b">
        <v>0</v>
      </c>
      <c r="P41" t="n">
        <v>1</v>
      </c>
      <c r="Q41" t="b">
        <v>0</v>
      </c>
      <c r="S41" t="b">
        <v>0</v>
      </c>
      <c r="T41" t="n">
        <v>0</v>
      </c>
      <c r="V41" t="n">
        <v>122</v>
      </c>
      <c r="Y41" t="n">
        <v>2</v>
      </c>
      <c r="Z41" t="inlineStr">
        <is>
          <t>High</t>
        </is>
      </c>
      <c r="AA41" t="b">
        <v>1</v>
      </c>
      <c r="AB41" t="b">
        <v>1</v>
      </c>
      <c r="AC41" t="n">
        <v>0</v>
      </c>
    </row>
    <row r="42">
      <c r="A42" t="inlineStr">
        <is>
          <t>2026-07-03</t>
        </is>
      </c>
      <c r="B42" t="inlineStr">
        <is>
          <t>10217565</t>
        </is>
      </c>
      <c r="C42" t="inlineStr">
        <is>
          <t>2340654</t>
        </is>
      </c>
      <c r="D42" t="inlineStr">
        <is>
          <t>MW Team</t>
        </is>
      </c>
      <c r="E42" t="inlineStr">
        <is>
          <t>NGUYỄN MINH HỮU</t>
        </is>
      </c>
      <c r="F42" t="inlineStr">
        <is>
          <t>Go-live</t>
        </is>
      </c>
      <c r="G42" t="n">
        <v>7</v>
      </c>
      <c r="H42" t="inlineStr">
        <is>
          <t>Done</t>
        </is>
      </c>
      <c r="I42" t="inlineStr">
        <is>
          <t>Low</t>
        </is>
      </c>
      <c r="J42" t="inlineStr">
        <is>
          <t>Q2</t>
        </is>
      </c>
      <c r="K42" t="inlineStr"/>
      <c r="L42" t="b">
        <v>0</v>
      </c>
      <c r="M42" t="b">
        <v>1</v>
      </c>
      <c r="N42" t="b">
        <v>0</v>
      </c>
      <c r="O42" t="b">
        <v>0</v>
      </c>
      <c r="P42" t="n">
        <v>1</v>
      </c>
      <c r="Q42" t="b">
        <v>0</v>
      </c>
      <c r="S42" t="b">
        <v>0</v>
      </c>
      <c r="T42" t="n">
        <v>0</v>
      </c>
      <c r="V42" t="n">
        <v>27</v>
      </c>
      <c r="W42" t="n">
        <v>0</v>
      </c>
      <c r="X42" t="n">
        <v>96</v>
      </c>
      <c r="Z42" t="inlineStr">
        <is>
          <t>Low</t>
        </is>
      </c>
      <c r="AA42" t="b">
        <v>0</v>
      </c>
      <c r="AB42" t="b">
        <v>0</v>
      </c>
      <c r="AC42" t="n">
        <v>0</v>
      </c>
    </row>
    <row r="43">
      <c r="A43" t="inlineStr">
        <is>
          <t>2026-07-03</t>
        </is>
      </c>
      <c r="B43" t="inlineStr">
        <is>
          <t>10090312</t>
        </is>
      </c>
      <c r="C43" t="inlineStr">
        <is>
          <t>2310394</t>
        </is>
      </c>
      <c r="D43" t="inlineStr">
        <is>
          <t>MW Team</t>
        </is>
      </c>
      <c r="E43" t="inlineStr">
        <is>
          <t>NGUYỄN MINH HỮU</t>
        </is>
      </c>
      <c r="F43" t="inlineStr">
        <is>
          <t>Go-live</t>
        </is>
      </c>
      <c r="G43" t="n">
        <v>7</v>
      </c>
      <c r="H43" t="inlineStr">
        <is>
          <t>Done</t>
        </is>
      </c>
      <c r="I43" t="inlineStr">
        <is>
          <t>Low</t>
        </is>
      </c>
      <c r="J43" t="inlineStr">
        <is>
          <t>Q2</t>
        </is>
      </c>
      <c r="K43" t="inlineStr"/>
      <c r="L43" t="b">
        <v>0</v>
      </c>
      <c r="M43" t="b">
        <v>1</v>
      </c>
      <c r="N43" t="b">
        <v>0</v>
      </c>
      <c r="O43" t="b">
        <v>1</v>
      </c>
      <c r="P43" t="n">
        <v>2</v>
      </c>
      <c r="Q43" t="b">
        <v>0</v>
      </c>
      <c r="S43" t="b">
        <v>0</v>
      </c>
      <c r="T43" t="n">
        <v>0</v>
      </c>
      <c r="V43" t="n">
        <v>52</v>
      </c>
      <c r="W43" t="n">
        <v>51</v>
      </c>
      <c r="X43" t="n">
        <v>98</v>
      </c>
      <c r="Z43" t="inlineStr">
        <is>
          <t>Low</t>
        </is>
      </c>
      <c r="AA43" t="b">
        <v>0</v>
      </c>
      <c r="AB43" t="b">
        <v>0</v>
      </c>
      <c r="AC43" t="n">
        <v>0</v>
      </c>
    </row>
    <row r="44">
      <c r="A44" t="inlineStr">
        <is>
          <t>2026-07-03</t>
        </is>
      </c>
      <c r="B44" t="inlineStr">
        <is>
          <t>10090329</t>
        </is>
      </c>
      <c r="C44" t="inlineStr">
        <is>
          <t>2446191</t>
        </is>
      </c>
      <c r="D44" t="inlineStr">
        <is>
          <t>MW Team</t>
        </is>
      </c>
      <c r="E44" t="inlineStr">
        <is>
          <t>NGUYỄN MINH HỮU</t>
        </is>
      </c>
      <c r="F44" t="inlineStr">
        <is>
          <t>Go-live</t>
        </is>
      </c>
      <c r="G44" t="n">
        <v>7</v>
      </c>
      <c r="H44" t="inlineStr">
        <is>
          <t>Done</t>
        </is>
      </c>
      <c r="I44" t="inlineStr">
        <is>
          <t>Low</t>
        </is>
      </c>
      <c r="J44" t="inlineStr">
        <is>
          <t>Q2</t>
        </is>
      </c>
      <c r="K44" t="inlineStr"/>
      <c r="L44" t="b">
        <v>0</v>
      </c>
      <c r="M44" t="b">
        <v>1</v>
      </c>
      <c r="N44" t="b">
        <v>0</v>
      </c>
      <c r="O44" t="b">
        <v>0</v>
      </c>
      <c r="P44" t="n">
        <v>1</v>
      </c>
      <c r="Q44" t="b">
        <v>0</v>
      </c>
      <c r="S44" t="b">
        <v>0</v>
      </c>
      <c r="T44" t="n">
        <v>0</v>
      </c>
      <c r="V44" t="n">
        <v>52</v>
      </c>
      <c r="W44" t="n">
        <v>35</v>
      </c>
      <c r="X44" t="n">
        <v>40</v>
      </c>
      <c r="Z44" t="inlineStr">
        <is>
          <t>Low</t>
        </is>
      </c>
      <c r="AA44" t="b">
        <v>0</v>
      </c>
      <c r="AB44" t="b">
        <v>0</v>
      </c>
      <c r="AC44" t="n">
        <v>1</v>
      </c>
    </row>
    <row r="45">
      <c r="A45" t="inlineStr">
        <is>
          <t>2026-07-03</t>
        </is>
      </c>
      <c r="B45" t="inlineStr">
        <is>
          <t>10090302</t>
        </is>
      </c>
      <c r="C45" t="inlineStr">
        <is>
          <t>2222464</t>
        </is>
      </c>
      <c r="D45" t="inlineStr">
        <is>
          <t>MW Team</t>
        </is>
      </c>
      <c r="E45" t="inlineStr">
        <is>
          <t>NGUYỄN MINH HỮU</t>
        </is>
      </c>
      <c r="F45" t="inlineStr">
        <is>
          <t>Go-live</t>
        </is>
      </c>
      <c r="G45" t="n">
        <v>7</v>
      </c>
      <c r="H45" t="inlineStr">
        <is>
          <t>Done</t>
        </is>
      </c>
      <c r="I45" t="inlineStr">
        <is>
          <t>Low</t>
        </is>
      </c>
      <c r="J45" t="inlineStr">
        <is>
          <t>Q2</t>
        </is>
      </c>
      <c r="K45" t="inlineStr"/>
      <c r="L45" t="b">
        <v>0</v>
      </c>
      <c r="M45" t="b">
        <v>1</v>
      </c>
      <c r="N45" t="b">
        <v>0</v>
      </c>
      <c r="O45" t="b">
        <v>1</v>
      </c>
      <c r="P45" t="n">
        <v>2</v>
      </c>
      <c r="Q45" t="b">
        <v>0</v>
      </c>
      <c r="S45" t="b">
        <v>0</v>
      </c>
      <c r="T45" t="n">
        <v>0</v>
      </c>
      <c r="V45" t="n">
        <v>52</v>
      </c>
      <c r="W45" t="n">
        <v>1</v>
      </c>
      <c r="X45" t="n">
        <v>152</v>
      </c>
      <c r="Z45" t="inlineStr">
        <is>
          <t>Low</t>
        </is>
      </c>
      <c r="AA45" t="b">
        <v>0</v>
      </c>
      <c r="AB45" t="b">
        <v>0</v>
      </c>
      <c r="AC45" t="n">
        <v>0</v>
      </c>
    </row>
    <row r="46">
      <c r="A46" t="inlineStr">
        <is>
          <t>2026-07-03</t>
        </is>
      </c>
      <c r="B46" t="inlineStr">
        <is>
          <t>10090343</t>
        </is>
      </c>
      <c r="C46" t="inlineStr">
        <is>
          <t>2443571</t>
        </is>
      </c>
      <c r="D46" t="inlineStr">
        <is>
          <t>MW Team</t>
        </is>
      </c>
      <c r="E46" t="inlineStr">
        <is>
          <t>NGUYỄN MINH HỮU</t>
        </is>
      </c>
      <c r="F46" t="inlineStr">
        <is>
          <t>Go-live</t>
        </is>
      </c>
      <c r="G46" t="n">
        <v>7</v>
      </c>
      <c r="H46" t="inlineStr">
        <is>
          <t>Done</t>
        </is>
      </c>
      <c r="I46" t="inlineStr">
        <is>
          <t>Low</t>
        </is>
      </c>
      <c r="J46" t="inlineStr">
        <is>
          <t>Q2</t>
        </is>
      </c>
      <c r="K46" t="inlineStr"/>
      <c r="L46" t="b">
        <v>0</v>
      </c>
      <c r="M46" t="b">
        <v>1</v>
      </c>
      <c r="N46" t="b">
        <v>0</v>
      </c>
      <c r="O46" t="b">
        <v>0</v>
      </c>
      <c r="P46" t="n">
        <v>1</v>
      </c>
      <c r="Q46" t="b">
        <v>0</v>
      </c>
      <c r="S46" t="b">
        <v>0</v>
      </c>
      <c r="T46" t="n">
        <v>0</v>
      </c>
      <c r="V46" t="n">
        <v>52</v>
      </c>
      <c r="W46" t="n">
        <v>24</v>
      </c>
      <c r="X46" t="n">
        <v>30</v>
      </c>
      <c r="Z46" t="inlineStr">
        <is>
          <t>Low</t>
        </is>
      </c>
      <c r="AA46" t="b">
        <v>0</v>
      </c>
      <c r="AB46" t="b">
        <v>0</v>
      </c>
      <c r="AC46" t="n">
        <v>0</v>
      </c>
    </row>
    <row r="47">
      <c r="A47" t="inlineStr">
        <is>
          <t>2026-07-03</t>
        </is>
      </c>
      <c r="B47" t="inlineStr">
        <is>
          <t>10090240</t>
        </is>
      </c>
      <c r="C47" t="inlineStr">
        <is>
          <t>2133352</t>
        </is>
      </c>
      <c r="D47" t="inlineStr">
        <is>
          <t>MW Team</t>
        </is>
      </c>
      <c r="E47" t="inlineStr">
        <is>
          <t>NGUYỄN MINH HỮU</t>
        </is>
      </c>
      <c r="F47" t="inlineStr">
        <is>
          <t>Go-live</t>
        </is>
      </c>
      <c r="G47" t="n">
        <v>7</v>
      </c>
      <c r="H47" t="inlineStr">
        <is>
          <t>Done</t>
        </is>
      </c>
      <c r="I47" t="inlineStr">
        <is>
          <t>Medium</t>
        </is>
      </c>
      <c r="J47" t="inlineStr">
        <is>
          <t>Q2</t>
        </is>
      </c>
      <c r="K47" t="inlineStr"/>
      <c r="L47" t="b">
        <v>0</v>
      </c>
      <c r="M47" t="b">
        <v>1</v>
      </c>
      <c r="N47" t="b">
        <v>0</v>
      </c>
      <c r="O47" t="b">
        <v>1</v>
      </c>
      <c r="P47" t="n">
        <v>2</v>
      </c>
      <c r="Q47" t="b">
        <v>0</v>
      </c>
      <c r="S47" t="b">
        <v>0</v>
      </c>
      <c r="T47" t="n">
        <v>0</v>
      </c>
      <c r="V47" t="n">
        <v>52</v>
      </c>
      <c r="W47" t="n">
        <v>3</v>
      </c>
      <c r="X47" t="n">
        <v>205</v>
      </c>
      <c r="Z47" t="inlineStr">
        <is>
          <t>Low</t>
        </is>
      </c>
      <c r="AA47" t="b">
        <v>0</v>
      </c>
      <c r="AB47" t="b">
        <v>0</v>
      </c>
      <c r="AC47" t="n">
        <v>0</v>
      </c>
    </row>
    <row r="48">
      <c r="A48" t="inlineStr">
        <is>
          <t>2026-07-03</t>
        </is>
      </c>
      <c r="B48" t="inlineStr">
        <is>
          <t>10090247</t>
        </is>
      </c>
      <c r="C48" t="inlineStr">
        <is>
          <t>2246969</t>
        </is>
      </c>
      <c r="D48" t="inlineStr">
        <is>
          <t>MW Team</t>
        </is>
      </c>
      <c r="E48" t="inlineStr">
        <is>
          <t>NGUYỄN MINH HỮU</t>
        </is>
      </c>
      <c r="F48" t="inlineStr">
        <is>
          <t>Go-live</t>
        </is>
      </c>
      <c r="G48" t="n">
        <v>7</v>
      </c>
      <c r="H48" t="inlineStr">
        <is>
          <t>Done</t>
        </is>
      </c>
      <c r="I48" t="inlineStr">
        <is>
          <t>Low</t>
        </is>
      </c>
      <c r="J48" t="inlineStr">
        <is>
          <t>Q2</t>
        </is>
      </c>
      <c r="K48" t="inlineStr"/>
      <c r="L48" t="b">
        <v>0</v>
      </c>
      <c r="M48" t="b">
        <v>1</v>
      </c>
      <c r="N48" t="b">
        <v>0</v>
      </c>
      <c r="O48" t="b">
        <v>0</v>
      </c>
      <c r="P48" t="n">
        <v>1</v>
      </c>
      <c r="Q48" t="b">
        <v>0</v>
      </c>
      <c r="S48" t="b">
        <v>0</v>
      </c>
      <c r="T48" t="n">
        <v>0</v>
      </c>
      <c r="V48" t="n">
        <v>52</v>
      </c>
      <c r="W48" t="n">
        <v>3</v>
      </c>
      <c r="X48" t="n">
        <v>136</v>
      </c>
      <c r="Z48" t="inlineStr">
        <is>
          <t>Low</t>
        </is>
      </c>
      <c r="AA48" t="b">
        <v>0</v>
      </c>
      <c r="AB48" t="b">
        <v>0</v>
      </c>
      <c r="AC48" t="n">
        <v>0</v>
      </c>
    </row>
    <row r="49">
      <c r="A49" t="inlineStr">
        <is>
          <t>2026-07-03</t>
        </is>
      </c>
      <c r="B49" t="inlineStr">
        <is>
          <t>10090293</t>
        </is>
      </c>
      <c r="C49" t="inlineStr">
        <is>
          <t>2275303</t>
        </is>
      </c>
      <c r="D49" t="inlineStr">
        <is>
          <t>MW Team</t>
        </is>
      </c>
      <c r="E49" t="inlineStr">
        <is>
          <t>NGUYỄN MINH HỮU</t>
        </is>
      </c>
      <c r="F49" t="inlineStr">
        <is>
          <t>FTL Coding</t>
        </is>
      </c>
      <c r="G49" t="n">
        <v>3</v>
      </c>
      <c r="H49" t="inlineStr">
        <is>
          <t>Doing</t>
        </is>
      </c>
      <c r="I49" t="inlineStr">
        <is>
          <t>Medium</t>
        </is>
      </c>
      <c r="J49" t="inlineStr">
        <is>
          <t>Q2</t>
        </is>
      </c>
      <c r="K49" t="inlineStr"/>
      <c r="L49" t="b">
        <v>0</v>
      </c>
      <c r="M49" t="b">
        <v>0</v>
      </c>
      <c r="N49" t="b">
        <v>1</v>
      </c>
      <c r="O49" t="b">
        <v>1</v>
      </c>
      <c r="P49" t="n">
        <v>3</v>
      </c>
      <c r="Q49" t="b">
        <v>0</v>
      </c>
      <c r="S49" t="b">
        <v>0</v>
      </c>
      <c r="T49" t="n">
        <v>0</v>
      </c>
      <c r="V49" t="n">
        <v>52</v>
      </c>
      <c r="W49" t="n">
        <v>51</v>
      </c>
      <c r="X49" t="n">
        <v>156</v>
      </c>
      <c r="Z49" t="inlineStr">
        <is>
          <t>Medium</t>
        </is>
      </c>
      <c r="AA49" t="b">
        <v>0</v>
      </c>
      <c r="AB49" t="b">
        <v>0</v>
      </c>
      <c r="AC49" t="n">
        <v>0</v>
      </c>
    </row>
    <row r="50">
      <c r="A50" t="inlineStr">
        <is>
          <t>2026-07-03</t>
        </is>
      </c>
      <c r="B50" t="inlineStr">
        <is>
          <t>10090287</t>
        </is>
      </c>
      <c r="C50" t="inlineStr">
        <is>
          <t>2216483</t>
        </is>
      </c>
      <c r="D50" t="inlineStr">
        <is>
          <t>MW Team</t>
        </is>
      </c>
      <c r="E50" t="inlineStr">
        <is>
          <t>NGUYỄN MINH HỮU</t>
        </is>
      </c>
      <c r="F50" t="inlineStr">
        <is>
          <t>Waiting FTL</t>
        </is>
      </c>
      <c r="G50" t="n">
        <v>3</v>
      </c>
      <c r="H50" t="inlineStr">
        <is>
          <t>Blocked</t>
        </is>
      </c>
      <c r="I50" t="inlineStr">
        <is>
          <t>Low</t>
        </is>
      </c>
      <c r="J50" t="inlineStr">
        <is>
          <t>Q2</t>
        </is>
      </c>
      <c r="K50" t="inlineStr"/>
      <c r="L50" t="b">
        <v>0</v>
      </c>
      <c r="M50" t="b">
        <v>0</v>
      </c>
      <c r="N50" t="b">
        <v>0</v>
      </c>
      <c r="O50" t="b">
        <v>1</v>
      </c>
      <c r="P50" t="n">
        <v>2</v>
      </c>
      <c r="Q50" t="b">
        <v>0</v>
      </c>
      <c r="S50" t="b">
        <v>0</v>
      </c>
      <c r="T50" t="n">
        <v>0</v>
      </c>
      <c r="V50" t="n">
        <v>52</v>
      </c>
      <c r="W50" t="n">
        <v>51</v>
      </c>
      <c r="X50" t="n">
        <v>184</v>
      </c>
      <c r="Y50" t="n">
        <v>0</v>
      </c>
      <c r="Z50" t="inlineStr">
        <is>
          <t>High</t>
        </is>
      </c>
      <c r="AA50" t="b">
        <v>1</v>
      </c>
      <c r="AB50" t="b">
        <v>1</v>
      </c>
      <c r="AC50" t="n">
        <v>0</v>
      </c>
    </row>
    <row r="51">
      <c r="A51" t="inlineStr">
        <is>
          <t>2026-07-03</t>
        </is>
      </c>
      <c r="B51" t="inlineStr">
        <is>
          <t>10090263</t>
        </is>
      </c>
      <c r="C51" t="inlineStr">
        <is>
          <t>2238356</t>
        </is>
      </c>
      <c r="D51" t="inlineStr">
        <is>
          <t>MW Team</t>
        </is>
      </c>
      <c r="E51" t="inlineStr">
        <is>
          <t>NGUYỄN MINH HỮU</t>
        </is>
      </c>
      <c r="F51" t="inlineStr">
        <is>
          <t>UAT Testing</t>
        </is>
      </c>
      <c r="G51" t="n">
        <v>5</v>
      </c>
      <c r="H51" t="inlineStr">
        <is>
          <t>UAT</t>
        </is>
      </c>
      <c r="I51" t="inlineStr">
        <is>
          <t>High</t>
        </is>
      </c>
      <c r="J51" t="inlineStr">
        <is>
          <t>Q2</t>
        </is>
      </c>
      <c r="K51" t="inlineStr"/>
      <c r="L51" t="b">
        <v>0</v>
      </c>
      <c r="M51" t="b">
        <v>0</v>
      </c>
      <c r="N51" t="b">
        <v>1</v>
      </c>
      <c r="O51" t="b">
        <v>1</v>
      </c>
      <c r="P51" t="n">
        <v>2</v>
      </c>
      <c r="Q51" t="b">
        <v>0</v>
      </c>
      <c r="S51" t="b">
        <v>0</v>
      </c>
      <c r="T51" t="n">
        <v>0</v>
      </c>
      <c r="V51" t="n">
        <v>52</v>
      </c>
      <c r="Y51" t="n">
        <v>0</v>
      </c>
      <c r="Z51" t="inlineStr">
        <is>
          <t>Medium</t>
        </is>
      </c>
      <c r="AA51" t="b">
        <v>0</v>
      </c>
      <c r="AB51" t="b">
        <v>1</v>
      </c>
      <c r="AC51" t="n">
        <v>0</v>
      </c>
    </row>
    <row r="52">
      <c r="A52" t="inlineStr">
        <is>
          <t>2026-07-03</t>
        </is>
      </c>
      <c r="B52" t="inlineStr">
        <is>
          <t>10090209</t>
        </is>
      </c>
      <c r="C52" t="inlineStr">
        <is>
          <t>2084592</t>
        </is>
      </c>
      <c r="D52" t="inlineStr">
        <is>
          <t>MW Team</t>
        </is>
      </c>
      <c r="E52" t="inlineStr">
        <is>
          <t>NGUYỄN MINH HỮU</t>
        </is>
      </c>
      <c r="F52" t="inlineStr">
        <is>
          <t>Waiting FTL</t>
        </is>
      </c>
      <c r="G52" t="n">
        <v>3</v>
      </c>
      <c r="H52" t="inlineStr">
        <is>
          <t>Blocked</t>
        </is>
      </c>
      <c r="I52" t="inlineStr">
        <is>
          <t>High</t>
        </is>
      </c>
      <c r="J52" t="inlineStr">
        <is>
          <t>Q2</t>
        </is>
      </c>
      <c r="K52" t="inlineStr"/>
      <c r="L52" t="b">
        <v>0</v>
      </c>
      <c r="M52" t="b">
        <v>0</v>
      </c>
      <c r="N52" t="b">
        <v>0</v>
      </c>
      <c r="O52" t="b">
        <v>1</v>
      </c>
      <c r="P52" t="n">
        <v>3</v>
      </c>
      <c r="Q52" t="b">
        <v>0</v>
      </c>
      <c r="S52" t="b">
        <v>0</v>
      </c>
      <c r="T52" t="n">
        <v>0</v>
      </c>
      <c r="V52" t="n">
        <v>52</v>
      </c>
      <c r="Y52" t="n">
        <v>0</v>
      </c>
      <c r="Z52" t="inlineStr">
        <is>
          <t>High</t>
        </is>
      </c>
      <c r="AA52" t="b">
        <v>1</v>
      </c>
      <c r="AB52" t="b">
        <v>1</v>
      </c>
      <c r="AC52" t="n">
        <v>0</v>
      </c>
    </row>
    <row r="53">
      <c r="A53" t="inlineStr">
        <is>
          <t>2026-07-03</t>
        </is>
      </c>
      <c r="B53" t="inlineStr">
        <is>
          <t>10090204</t>
        </is>
      </c>
      <c r="C53" t="inlineStr">
        <is>
          <t>2149046</t>
        </is>
      </c>
      <c r="D53" t="inlineStr">
        <is>
          <t>MW Team</t>
        </is>
      </c>
      <c r="E53" t="inlineStr">
        <is>
          <t>NGUYỄN MINH HỮU</t>
        </is>
      </c>
      <c r="F53" t="inlineStr">
        <is>
          <t>UAT Testing</t>
        </is>
      </c>
      <c r="G53" t="n">
        <v>5</v>
      </c>
      <c r="H53" t="inlineStr">
        <is>
          <t>UAT</t>
        </is>
      </c>
      <c r="I53" t="inlineStr">
        <is>
          <t>High</t>
        </is>
      </c>
      <c r="J53" t="inlineStr">
        <is>
          <t>Q2</t>
        </is>
      </c>
      <c r="K53" t="inlineStr"/>
      <c r="L53" t="b">
        <v>0</v>
      </c>
      <c r="M53" t="b">
        <v>0</v>
      </c>
      <c r="N53" t="b">
        <v>1</v>
      </c>
      <c r="O53" t="b">
        <v>1</v>
      </c>
      <c r="P53" t="n">
        <v>2</v>
      </c>
      <c r="Q53" t="b">
        <v>0</v>
      </c>
      <c r="S53" t="b">
        <v>0</v>
      </c>
      <c r="T53" t="n">
        <v>0</v>
      </c>
      <c r="V53" t="n">
        <v>52</v>
      </c>
      <c r="Y53" t="n">
        <v>0</v>
      </c>
      <c r="Z53" t="inlineStr">
        <is>
          <t>Medium</t>
        </is>
      </c>
      <c r="AA53" t="b">
        <v>0</v>
      </c>
      <c r="AB53" t="b">
        <v>1</v>
      </c>
      <c r="AC53" t="n">
        <v>0</v>
      </c>
    </row>
    <row r="54">
      <c r="A54" t="inlineStr">
        <is>
          <t>2026-07-03</t>
        </is>
      </c>
      <c r="B54" t="inlineStr">
        <is>
          <t>10090258</t>
        </is>
      </c>
      <c r="C54" t="inlineStr">
        <is>
          <t>2106995</t>
        </is>
      </c>
      <c r="D54" t="inlineStr">
        <is>
          <t>MW Team</t>
        </is>
      </c>
      <c r="E54" t="inlineStr">
        <is>
          <t>NGUYỄN MINH HỮU</t>
        </is>
      </c>
      <c r="F54" t="inlineStr">
        <is>
          <t>UAT Testing</t>
        </is>
      </c>
      <c r="G54" t="n">
        <v>5</v>
      </c>
      <c r="H54" t="inlineStr">
        <is>
          <t>UAT</t>
        </is>
      </c>
      <c r="I54" t="inlineStr">
        <is>
          <t>Low</t>
        </is>
      </c>
      <c r="J54" t="inlineStr">
        <is>
          <t>Q2</t>
        </is>
      </c>
      <c r="K54" t="inlineStr"/>
      <c r="L54" t="b">
        <v>0</v>
      </c>
      <c r="M54" t="b">
        <v>0</v>
      </c>
      <c r="N54" t="b">
        <v>1</v>
      </c>
      <c r="O54" t="b">
        <v>0</v>
      </c>
      <c r="P54" t="n">
        <v>1</v>
      </c>
      <c r="Q54" t="b">
        <v>0</v>
      </c>
      <c r="S54" t="b">
        <v>0</v>
      </c>
      <c r="T54" t="n">
        <v>0</v>
      </c>
      <c r="V54" t="n">
        <v>52</v>
      </c>
      <c r="Y54" t="n">
        <v>0</v>
      </c>
      <c r="Z54" t="inlineStr">
        <is>
          <t>Medium</t>
        </is>
      </c>
      <c r="AA54" t="b">
        <v>0</v>
      </c>
      <c r="AB54" t="b">
        <v>1</v>
      </c>
      <c r="AC54" t="n">
        <v>0</v>
      </c>
    </row>
    <row r="55">
      <c r="A55" t="inlineStr">
        <is>
          <t>2026-07-03</t>
        </is>
      </c>
      <c r="B55" t="inlineStr">
        <is>
          <t>10090289</t>
        </is>
      </c>
      <c r="C55" t="inlineStr">
        <is>
          <t>2283752</t>
        </is>
      </c>
      <c r="D55" t="inlineStr">
        <is>
          <t>MW Team</t>
        </is>
      </c>
      <c r="E55" t="inlineStr">
        <is>
          <t>NGUYỄN MINH HỮU</t>
        </is>
      </c>
      <c r="F55" t="inlineStr">
        <is>
          <t>UAT Testing</t>
        </is>
      </c>
      <c r="G55" t="n">
        <v>5</v>
      </c>
      <c r="H55" t="inlineStr">
        <is>
          <t>UAT</t>
        </is>
      </c>
      <c r="I55" t="inlineStr">
        <is>
          <t>Low</t>
        </is>
      </c>
      <c r="J55" t="inlineStr">
        <is>
          <t>Q2</t>
        </is>
      </c>
      <c r="K55" t="inlineStr"/>
      <c r="L55" t="b">
        <v>0</v>
      </c>
      <c r="M55" t="b">
        <v>0</v>
      </c>
      <c r="N55" t="b">
        <v>1</v>
      </c>
      <c r="O55" t="b">
        <v>1</v>
      </c>
      <c r="P55" t="n">
        <v>2</v>
      </c>
      <c r="Q55" t="b">
        <v>0</v>
      </c>
      <c r="S55" t="b">
        <v>0</v>
      </c>
      <c r="T55" t="n">
        <v>0</v>
      </c>
      <c r="V55" t="n">
        <v>52</v>
      </c>
      <c r="Y55" t="n">
        <v>0</v>
      </c>
      <c r="Z55" t="inlineStr">
        <is>
          <t>Medium</t>
        </is>
      </c>
      <c r="AA55" t="b">
        <v>0</v>
      </c>
      <c r="AB55" t="b">
        <v>1</v>
      </c>
      <c r="AC55" t="n">
        <v>0</v>
      </c>
    </row>
    <row r="56">
      <c r="A56" t="inlineStr">
        <is>
          <t>2026-07-03</t>
        </is>
      </c>
      <c r="B56" t="inlineStr">
        <is>
          <t>10090323</t>
        </is>
      </c>
      <c r="C56" t="inlineStr">
        <is>
          <t>2437753</t>
        </is>
      </c>
      <c r="D56" t="inlineStr">
        <is>
          <t>MW Team</t>
        </is>
      </c>
      <c r="E56" t="inlineStr">
        <is>
          <t>NGUYỄN MINH HỮU</t>
        </is>
      </c>
      <c r="F56" t="inlineStr">
        <is>
          <t>FSS Eval CR</t>
        </is>
      </c>
      <c r="G56" t="n">
        <v>1</v>
      </c>
      <c r="H56" t="inlineStr">
        <is>
          <t>Doing</t>
        </is>
      </c>
      <c r="I56" t="inlineStr">
        <is>
          <t>Low</t>
        </is>
      </c>
      <c r="J56" t="inlineStr">
        <is>
          <t>Q3</t>
        </is>
      </c>
      <c r="K56" t="inlineStr"/>
      <c r="L56" t="b">
        <v>0</v>
      </c>
      <c r="M56" t="b">
        <v>0</v>
      </c>
      <c r="N56" t="b">
        <v>1</v>
      </c>
      <c r="O56" t="b">
        <v>0</v>
      </c>
      <c r="P56" t="n">
        <v>1</v>
      </c>
      <c r="Q56" t="b">
        <v>0</v>
      </c>
      <c r="S56" t="b">
        <v>0</v>
      </c>
      <c r="T56" t="n">
        <v>0</v>
      </c>
      <c r="V56" t="n">
        <v>52</v>
      </c>
      <c r="Y56" t="n">
        <v>0</v>
      </c>
      <c r="Z56" t="inlineStr">
        <is>
          <t>Medium</t>
        </is>
      </c>
      <c r="AA56" t="b">
        <v>0</v>
      </c>
      <c r="AB56" t="b">
        <v>1</v>
      </c>
      <c r="AC56" t="n">
        <v>0</v>
      </c>
    </row>
    <row r="57">
      <c r="A57" t="inlineStr">
        <is>
          <t>2026-07-03</t>
        </is>
      </c>
      <c r="B57" t="inlineStr">
        <is>
          <t>10090283</t>
        </is>
      </c>
      <c r="C57" t="inlineStr">
        <is>
          <t>2289280</t>
        </is>
      </c>
      <c r="D57" t="inlineStr">
        <is>
          <t>MW Team</t>
        </is>
      </c>
      <c r="E57" t="inlineStr">
        <is>
          <t>NGUYỄN MINH HỮU</t>
        </is>
      </c>
      <c r="F57" t="inlineStr">
        <is>
          <t>Discuss Req</t>
        </is>
      </c>
      <c r="G57" t="n">
        <v>1</v>
      </c>
      <c r="H57" t="inlineStr">
        <is>
          <t>Todo</t>
        </is>
      </c>
      <c r="I57" t="inlineStr">
        <is>
          <t>Low</t>
        </is>
      </c>
      <c r="J57" t="inlineStr">
        <is>
          <t>Backlog</t>
        </is>
      </c>
      <c r="K57" t="inlineStr"/>
      <c r="L57" t="b">
        <v>0</v>
      </c>
      <c r="M57" t="b">
        <v>0</v>
      </c>
      <c r="N57" t="b">
        <v>0</v>
      </c>
      <c r="O57" t="b">
        <v>1</v>
      </c>
      <c r="P57" t="n">
        <v>2</v>
      </c>
      <c r="Q57" t="b">
        <v>0</v>
      </c>
      <c r="S57" t="b">
        <v>0</v>
      </c>
      <c r="T57" t="n">
        <v>0</v>
      </c>
      <c r="V57" t="n">
        <v>52</v>
      </c>
      <c r="Z57" t="inlineStr">
        <is>
          <t>Low</t>
        </is>
      </c>
      <c r="AA57" t="b">
        <v>0</v>
      </c>
      <c r="AB57" t="b">
        <v>0</v>
      </c>
      <c r="AC57" t="n">
        <v>0</v>
      </c>
    </row>
    <row r="58">
      <c r="A58" t="inlineStr">
        <is>
          <t>2026-07-03</t>
        </is>
      </c>
      <c r="B58" t="inlineStr">
        <is>
          <t>9739429</t>
        </is>
      </c>
      <c r="C58" t="inlineStr">
        <is>
          <t>2275303</t>
        </is>
      </c>
      <c r="D58" t="inlineStr">
        <is>
          <t>Team Mobile</t>
        </is>
      </c>
      <c r="E58" t="inlineStr"/>
      <c r="F58" t="inlineStr">
        <is>
          <t>Go-live</t>
        </is>
      </c>
      <c r="G58" t="n">
        <v>7</v>
      </c>
      <c r="H58" t="inlineStr">
        <is>
          <t>Done</t>
        </is>
      </c>
      <c r="I58" t="inlineStr">
        <is>
          <t>Medium</t>
        </is>
      </c>
      <c r="J58" t="inlineStr">
        <is>
          <t>Q2</t>
        </is>
      </c>
      <c r="K58" t="inlineStr">
        <is>
          <t>2026Q2</t>
        </is>
      </c>
      <c r="L58" t="b">
        <v>0</v>
      </c>
      <c r="M58" t="b">
        <v>1</v>
      </c>
      <c r="N58" t="b">
        <v>0</v>
      </c>
      <c r="O58" t="b">
        <v>1</v>
      </c>
      <c r="P58" t="n">
        <v>3</v>
      </c>
      <c r="Q58" t="b">
        <v>1</v>
      </c>
      <c r="R58" t="b">
        <v>0</v>
      </c>
      <c r="S58" t="b">
        <v>1</v>
      </c>
      <c r="T58" t="n">
        <v>33</v>
      </c>
      <c r="V58" t="n">
        <v>122</v>
      </c>
      <c r="W58" t="n">
        <v>117</v>
      </c>
      <c r="X58" t="n">
        <v>153</v>
      </c>
      <c r="Z58" t="inlineStr">
        <is>
          <t>Low</t>
        </is>
      </c>
      <c r="AA58" t="b">
        <v>0</v>
      </c>
      <c r="AB58" t="b">
        <v>0</v>
      </c>
      <c r="AC58" t="n">
        <v>0</v>
      </c>
    </row>
    <row r="59">
      <c r="A59" t="inlineStr">
        <is>
          <t>2026-07-03</t>
        </is>
      </c>
      <c r="B59" t="inlineStr">
        <is>
          <t>9953652</t>
        </is>
      </c>
      <c r="C59" t="inlineStr">
        <is>
          <t>2310394</t>
        </is>
      </c>
      <c r="D59" t="inlineStr">
        <is>
          <t>Team Mobile</t>
        </is>
      </c>
      <c r="E59" t="inlineStr">
        <is>
          <t>VÕ THANH PHONG</t>
        </is>
      </c>
      <c r="F59" t="inlineStr">
        <is>
          <t>Go-live</t>
        </is>
      </c>
      <c r="G59" t="n">
        <v>7</v>
      </c>
      <c r="H59" t="inlineStr">
        <is>
          <t>Done</t>
        </is>
      </c>
      <c r="I59" t="inlineStr">
        <is>
          <t>Low</t>
        </is>
      </c>
      <c r="J59" t="inlineStr">
        <is>
          <t>Q2</t>
        </is>
      </c>
      <c r="K59" t="inlineStr"/>
      <c r="L59" t="b">
        <v>0</v>
      </c>
      <c r="M59" t="b">
        <v>1</v>
      </c>
      <c r="N59" t="b">
        <v>0</v>
      </c>
      <c r="O59" t="b">
        <v>1</v>
      </c>
      <c r="P59" t="n">
        <v>2</v>
      </c>
      <c r="Q59" t="b">
        <v>0</v>
      </c>
      <c r="S59" t="b">
        <v>0</v>
      </c>
      <c r="T59" t="n">
        <v>0</v>
      </c>
      <c r="V59" t="n">
        <v>81</v>
      </c>
      <c r="W59" t="n">
        <v>76</v>
      </c>
      <c r="X59" t="n">
        <v>95</v>
      </c>
      <c r="Z59" t="inlineStr">
        <is>
          <t>Low</t>
        </is>
      </c>
      <c r="AA59" t="b">
        <v>0</v>
      </c>
      <c r="AB59" t="b">
        <v>0</v>
      </c>
      <c r="AC59" t="n">
        <v>0</v>
      </c>
    </row>
    <row r="60">
      <c r="A60" t="inlineStr">
        <is>
          <t>2026-07-03</t>
        </is>
      </c>
      <c r="B60" t="inlineStr">
        <is>
          <t>9953677</t>
        </is>
      </c>
      <c r="C60" t="inlineStr">
        <is>
          <t>2400155</t>
        </is>
      </c>
      <c r="D60" t="inlineStr">
        <is>
          <t>Team Mobile</t>
        </is>
      </c>
      <c r="E60" t="inlineStr">
        <is>
          <t>VÕ THANH PHONG</t>
        </is>
      </c>
      <c r="F60" t="inlineStr">
        <is>
          <t>Go-live</t>
        </is>
      </c>
      <c r="G60" t="n">
        <v>7</v>
      </c>
      <c r="H60" t="inlineStr">
        <is>
          <t>Done</t>
        </is>
      </c>
      <c r="I60" t="inlineStr">
        <is>
          <t>Medium</t>
        </is>
      </c>
      <c r="J60" t="inlineStr">
        <is>
          <t>Q2</t>
        </is>
      </c>
      <c r="K60" t="inlineStr"/>
      <c r="L60" t="b">
        <v>0</v>
      </c>
      <c r="M60" t="b">
        <v>1</v>
      </c>
      <c r="N60" t="b">
        <v>0</v>
      </c>
      <c r="O60" t="b">
        <v>1</v>
      </c>
      <c r="P60" t="n">
        <v>2</v>
      </c>
      <c r="Q60" t="b">
        <v>0</v>
      </c>
      <c r="S60" t="b">
        <v>0</v>
      </c>
      <c r="T60" t="n">
        <v>0</v>
      </c>
      <c r="V60" t="n">
        <v>81</v>
      </c>
      <c r="W60" t="n">
        <v>76</v>
      </c>
      <c r="X60" t="n">
        <v>77</v>
      </c>
      <c r="Z60" t="inlineStr">
        <is>
          <t>Low</t>
        </is>
      </c>
      <c r="AA60" t="b">
        <v>0</v>
      </c>
      <c r="AB60" t="b">
        <v>0</v>
      </c>
      <c r="AC60" t="n">
        <v>0</v>
      </c>
    </row>
    <row r="61">
      <c r="A61" t="inlineStr">
        <is>
          <t>2026-07-03</t>
        </is>
      </c>
      <c r="B61" t="inlineStr">
        <is>
          <t>9739428</t>
        </is>
      </c>
      <c r="C61" t="inlineStr">
        <is>
          <t>2329940</t>
        </is>
      </c>
      <c r="D61" t="inlineStr">
        <is>
          <t>Team Mobile</t>
        </is>
      </c>
      <c r="E61" t="inlineStr"/>
      <c r="F61" t="inlineStr">
        <is>
          <t>Go-live</t>
        </is>
      </c>
      <c r="G61" t="n">
        <v>7</v>
      </c>
      <c r="H61" t="inlineStr">
        <is>
          <t>Done</t>
        </is>
      </c>
      <c r="I61" t="inlineStr">
        <is>
          <t>Medium</t>
        </is>
      </c>
      <c r="J61" t="inlineStr">
        <is>
          <t>Q2</t>
        </is>
      </c>
      <c r="K61" t="inlineStr">
        <is>
          <t>2026Q2</t>
        </is>
      </c>
      <c r="L61" t="b">
        <v>0</v>
      </c>
      <c r="M61" t="b">
        <v>1</v>
      </c>
      <c r="N61" t="b">
        <v>0</v>
      </c>
      <c r="O61" t="b">
        <v>0</v>
      </c>
      <c r="P61" t="n">
        <v>1</v>
      </c>
      <c r="Q61" t="b">
        <v>1</v>
      </c>
      <c r="R61" t="b">
        <v>0</v>
      </c>
      <c r="S61" t="b">
        <v>1</v>
      </c>
      <c r="T61" t="n">
        <v>13</v>
      </c>
      <c r="V61" t="n">
        <v>122</v>
      </c>
      <c r="W61" t="n">
        <v>93</v>
      </c>
      <c r="X61" t="n">
        <v>102</v>
      </c>
      <c r="Z61" t="inlineStr">
        <is>
          <t>Low</t>
        </is>
      </c>
      <c r="AA61" t="b">
        <v>0</v>
      </c>
      <c r="AB61" t="b">
        <v>0</v>
      </c>
      <c r="AC61" t="n">
        <v>0</v>
      </c>
    </row>
    <row r="62">
      <c r="A62" t="inlineStr">
        <is>
          <t>2026-07-03</t>
        </is>
      </c>
      <c r="B62" t="inlineStr">
        <is>
          <t>9931785</t>
        </is>
      </c>
      <c r="C62" t="inlineStr">
        <is>
          <t>2306127</t>
        </is>
      </c>
      <c r="D62" t="inlineStr">
        <is>
          <t>Team Mobile</t>
        </is>
      </c>
      <c r="E62" t="inlineStr">
        <is>
          <t>VÕ THANH PHONG</t>
        </is>
      </c>
      <c r="F62" t="inlineStr">
        <is>
          <t>Go-live</t>
        </is>
      </c>
      <c r="G62" t="n">
        <v>7</v>
      </c>
      <c r="H62" t="inlineStr">
        <is>
          <t>Done</t>
        </is>
      </c>
      <c r="I62" t="inlineStr">
        <is>
          <t>Low</t>
        </is>
      </c>
      <c r="J62" t="inlineStr">
        <is>
          <t>Q2</t>
        </is>
      </c>
      <c r="K62" t="inlineStr"/>
      <c r="L62" t="b">
        <v>0</v>
      </c>
      <c r="M62" t="b">
        <v>1</v>
      </c>
      <c r="N62" t="b">
        <v>0</v>
      </c>
      <c r="O62" t="b">
        <v>0</v>
      </c>
      <c r="P62" t="n">
        <v>1</v>
      </c>
      <c r="Q62" t="b">
        <v>0</v>
      </c>
      <c r="S62" t="b">
        <v>0</v>
      </c>
      <c r="T62" t="n">
        <v>0</v>
      </c>
      <c r="V62" t="n">
        <v>85</v>
      </c>
      <c r="W62" t="n">
        <v>47</v>
      </c>
      <c r="X62" t="n">
        <v>71</v>
      </c>
      <c r="Z62" t="inlineStr">
        <is>
          <t>Low</t>
        </is>
      </c>
      <c r="AA62" t="b">
        <v>0</v>
      </c>
      <c r="AB62" t="b">
        <v>0</v>
      </c>
      <c r="AC62" t="n">
        <v>0</v>
      </c>
    </row>
    <row r="63">
      <c r="A63" t="inlineStr">
        <is>
          <t>2026-07-03</t>
        </is>
      </c>
      <c r="B63" t="inlineStr">
        <is>
          <t>10007137</t>
        </is>
      </c>
      <c r="C63" t="inlineStr">
        <is>
          <t>2372910</t>
        </is>
      </c>
      <c r="D63" t="inlineStr">
        <is>
          <t>Team Mobile</t>
        </is>
      </c>
      <c r="E63" t="inlineStr">
        <is>
          <t>VÕ THANH PHONG</t>
        </is>
      </c>
      <c r="F63" t="inlineStr">
        <is>
          <t>Go-live</t>
        </is>
      </c>
      <c r="G63" t="n">
        <v>7</v>
      </c>
      <c r="H63" t="inlineStr">
        <is>
          <t>Done</t>
        </is>
      </c>
      <c r="I63" t="inlineStr">
        <is>
          <t>Low</t>
        </is>
      </c>
      <c r="J63" t="inlineStr">
        <is>
          <t>Q2</t>
        </is>
      </c>
      <c r="K63" t="inlineStr">
        <is>
          <t>2026Q2</t>
        </is>
      </c>
      <c r="L63" t="b">
        <v>0</v>
      </c>
      <c r="M63" t="b">
        <v>1</v>
      </c>
      <c r="N63" t="b">
        <v>0</v>
      </c>
      <c r="O63" t="b">
        <v>0</v>
      </c>
      <c r="P63" t="n">
        <v>1</v>
      </c>
      <c r="Q63" t="b">
        <v>0</v>
      </c>
      <c r="S63" t="b">
        <v>0</v>
      </c>
      <c r="T63" t="n">
        <v>0</v>
      </c>
      <c r="V63" t="n">
        <v>70</v>
      </c>
      <c r="W63" t="n">
        <v>9</v>
      </c>
      <c r="X63" t="n">
        <v>47</v>
      </c>
      <c r="Z63" t="inlineStr">
        <is>
          <t>Low</t>
        </is>
      </c>
      <c r="AA63" t="b">
        <v>0</v>
      </c>
      <c r="AB63" t="b">
        <v>0</v>
      </c>
      <c r="AC63" t="n">
        <v>0</v>
      </c>
    </row>
    <row r="64">
      <c r="A64" t="inlineStr">
        <is>
          <t>2026-07-03</t>
        </is>
      </c>
      <c r="B64" t="inlineStr">
        <is>
          <t>9739424</t>
        </is>
      </c>
      <c r="C64" t="inlineStr">
        <is>
          <t>2216483</t>
        </is>
      </c>
      <c r="D64" t="inlineStr">
        <is>
          <t>Team Mobile</t>
        </is>
      </c>
      <c r="E64" t="inlineStr"/>
      <c r="F64" t="inlineStr">
        <is>
          <t>Go-live</t>
        </is>
      </c>
      <c r="G64" t="n">
        <v>7</v>
      </c>
      <c r="H64" t="inlineStr">
        <is>
          <t>Done</t>
        </is>
      </c>
      <c r="I64" t="inlineStr">
        <is>
          <t>Low</t>
        </is>
      </c>
      <c r="J64" t="inlineStr">
        <is>
          <t>Q2</t>
        </is>
      </c>
      <c r="K64" t="inlineStr">
        <is>
          <t>2026Q2</t>
        </is>
      </c>
      <c r="L64" t="b">
        <v>0</v>
      </c>
      <c r="M64" t="b">
        <v>1</v>
      </c>
      <c r="N64" t="b">
        <v>0</v>
      </c>
      <c r="O64" t="b">
        <v>1</v>
      </c>
      <c r="P64" t="n">
        <v>2</v>
      </c>
      <c r="Q64" t="b">
        <v>0</v>
      </c>
      <c r="S64" t="b">
        <v>0</v>
      </c>
      <c r="T64" t="n">
        <v>0</v>
      </c>
      <c r="V64" t="n">
        <v>122</v>
      </c>
      <c r="W64" t="n">
        <v>61</v>
      </c>
      <c r="X64" t="n">
        <v>124</v>
      </c>
      <c r="Z64" t="inlineStr">
        <is>
          <t>Low</t>
        </is>
      </c>
      <c r="AA64" t="b">
        <v>0</v>
      </c>
      <c r="AB64" t="b">
        <v>0</v>
      </c>
      <c r="AC64" t="n">
        <v>0</v>
      </c>
    </row>
    <row r="65">
      <c r="A65" t="inlineStr">
        <is>
          <t>2026-07-03</t>
        </is>
      </c>
      <c r="B65" t="inlineStr">
        <is>
          <t>9931751</t>
        </is>
      </c>
      <c r="C65" t="inlineStr">
        <is>
          <t>2400512</t>
        </is>
      </c>
      <c r="D65" t="inlineStr">
        <is>
          <t>Team Mobile</t>
        </is>
      </c>
      <c r="E65" t="inlineStr">
        <is>
          <t>VÕ THANH PHONG</t>
        </is>
      </c>
      <c r="F65" t="inlineStr">
        <is>
          <t>Go-live</t>
        </is>
      </c>
      <c r="G65" t="n">
        <v>7</v>
      </c>
      <c r="H65" t="inlineStr">
        <is>
          <t>Done</t>
        </is>
      </c>
      <c r="I65" t="inlineStr">
        <is>
          <t>Low</t>
        </is>
      </c>
      <c r="J65" t="inlineStr">
        <is>
          <t>Q2</t>
        </is>
      </c>
      <c r="K65" t="inlineStr">
        <is>
          <t>2026Q2</t>
        </is>
      </c>
      <c r="L65" t="b">
        <v>0</v>
      </c>
      <c r="M65" t="b">
        <v>1</v>
      </c>
      <c r="N65" t="b">
        <v>0</v>
      </c>
      <c r="O65" t="b">
        <v>0</v>
      </c>
      <c r="P65" t="n">
        <v>1</v>
      </c>
      <c r="Q65" t="b">
        <v>0</v>
      </c>
      <c r="S65" t="b">
        <v>0</v>
      </c>
      <c r="T65" t="n">
        <v>0</v>
      </c>
      <c r="V65" t="n">
        <v>85</v>
      </c>
      <c r="W65" t="n">
        <v>10</v>
      </c>
      <c r="X65" t="n">
        <v>14</v>
      </c>
      <c r="Z65" t="inlineStr">
        <is>
          <t>Low</t>
        </is>
      </c>
      <c r="AA65" t="b">
        <v>0</v>
      </c>
      <c r="AB65" t="b">
        <v>0</v>
      </c>
      <c r="AC65" t="n">
        <v>0</v>
      </c>
    </row>
    <row r="66">
      <c r="A66" t="inlineStr">
        <is>
          <t>2026-07-03</t>
        </is>
      </c>
      <c r="B66" t="inlineStr">
        <is>
          <t>9739423</t>
        </is>
      </c>
      <c r="C66" t="inlineStr">
        <is>
          <t>2222464</t>
        </is>
      </c>
      <c r="D66" t="inlineStr">
        <is>
          <t>Team Mobile</t>
        </is>
      </c>
      <c r="E66" t="inlineStr">
        <is>
          <t>VÕ THANH PHONG</t>
        </is>
      </c>
      <c r="F66" t="inlineStr">
        <is>
          <t>Go-live</t>
        </is>
      </c>
      <c r="G66" t="n">
        <v>7</v>
      </c>
      <c r="H66" t="inlineStr">
        <is>
          <t>Done</t>
        </is>
      </c>
      <c r="I66" t="inlineStr">
        <is>
          <t>Low</t>
        </is>
      </c>
      <c r="J66" t="inlineStr">
        <is>
          <t>Q2</t>
        </is>
      </c>
      <c r="K66" t="inlineStr">
        <is>
          <t>2026Q2</t>
        </is>
      </c>
      <c r="L66" t="b">
        <v>0</v>
      </c>
      <c r="M66" t="b">
        <v>1</v>
      </c>
      <c r="N66" t="b">
        <v>0</v>
      </c>
      <c r="O66" t="b">
        <v>1</v>
      </c>
      <c r="P66" t="n">
        <v>2</v>
      </c>
      <c r="Q66" t="b">
        <v>0</v>
      </c>
      <c r="S66" t="b">
        <v>0</v>
      </c>
      <c r="T66" t="n">
        <v>0</v>
      </c>
      <c r="V66" t="n">
        <v>122</v>
      </c>
      <c r="W66" t="n">
        <v>47</v>
      </c>
      <c r="Z66" t="inlineStr">
        <is>
          <t>Low</t>
        </is>
      </c>
      <c r="AA66" t="b">
        <v>0</v>
      </c>
      <c r="AB66" t="b">
        <v>0</v>
      </c>
      <c r="AC66" t="n">
        <v>0</v>
      </c>
    </row>
    <row r="67">
      <c r="A67" t="inlineStr">
        <is>
          <t>2026-07-03</t>
        </is>
      </c>
      <c r="B67" t="inlineStr">
        <is>
          <t>9739422</t>
        </is>
      </c>
      <c r="C67" t="inlineStr">
        <is>
          <t>2212813</t>
        </is>
      </c>
      <c r="D67" t="inlineStr">
        <is>
          <t>Team Mobile</t>
        </is>
      </c>
      <c r="E67" t="inlineStr"/>
      <c r="F67" t="inlineStr">
        <is>
          <t>Go-live</t>
        </is>
      </c>
      <c r="G67" t="n">
        <v>7</v>
      </c>
      <c r="H67" t="inlineStr">
        <is>
          <t>Done</t>
        </is>
      </c>
      <c r="I67" t="inlineStr">
        <is>
          <t>Low</t>
        </is>
      </c>
      <c r="J67" t="inlineStr">
        <is>
          <t>Q2</t>
        </is>
      </c>
      <c r="K67" t="inlineStr">
        <is>
          <t>2026Q2</t>
        </is>
      </c>
      <c r="L67" t="b">
        <v>0</v>
      </c>
      <c r="M67" t="b">
        <v>1</v>
      </c>
      <c r="N67" t="b">
        <v>0</v>
      </c>
      <c r="O67" t="b">
        <v>0</v>
      </c>
      <c r="P67" t="n">
        <v>1</v>
      </c>
      <c r="Q67" t="b">
        <v>0</v>
      </c>
      <c r="S67" t="b">
        <v>0</v>
      </c>
      <c r="T67" t="n">
        <v>0</v>
      </c>
      <c r="V67" t="n">
        <v>122</v>
      </c>
      <c r="W67" t="n">
        <v>41</v>
      </c>
      <c r="X67" t="n">
        <v>61</v>
      </c>
      <c r="Z67" t="inlineStr">
        <is>
          <t>Low</t>
        </is>
      </c>
      <c r="AA67" t="b">
        <v>0</v>
      </c>
      <c r="AB67" t="b">
        <v>0</v>
      </c>
      <c r="AC67" t="n">
        <v>0</v>
      </c>
    </row>
    <row r="68">
      <c r="A68" t="inlineStr">
        <is>
          <t>2026-07-03</t>
        </is>
      </c>
      <c r="B68" t="inlineStr">
        <is>
          <t>9739420</t>
        </is>
      </c>
      <c r="C68" t="inlineStr">
        <is>
          <t>2133352</t>
        </is>
      </c>
      <c r="D68" t="inlineStr">
        <is>
          <t>Team Mobile</t>
        </is>
      </c>
      <c r="E68" t="inlineStr">
        <is>
          <t>VÕ THANH PHONG</t>
        </is>
      </c>
      <c r="F68" t="inlineStr">
        <is>
          <t>Go-live</t>
        </is>
      </c>
      <c r="G68" t="n">
        <v>7</v>
      </c>
      <c r="H68" t="inlineStr">
        <is>
          <t>Done</t>
        </is>
      </c>
      <c r="I68" t="inlineStr">
        <is>
          <t>Medium</t>
        </is>
      </c>
      <c r="J68" t="inlineStr">
        <is>
          <t>Q1</t>
        </is>
      </c>
      <c r="K68" t="inlineStr">
        <is>
          <t>2026Q1</t>
        </is>
      </c>
      <c r="L68" t="b">
        <v>0</v>
      </c>
      <c r="M68" t="b">
        <v>1</v>
      </c>
      <c r="N68" t="b">
        <v>0</v>
      </c>
      <c r="O68" t="b">
        <v>1</v>
      </c>
      <c r="P68" t="n">
        <v>2</v>
      </c>
      <c r="Q68" t="b">
        <v>1</v>
      </c>
      <c r="R68" t="b">
        <v>1</v>
      </c>
      <c r="S68" t="b">
        <v>0</v>
      </c>
      <c r="T68" t="n">
        <v>0</v>
      </c>
      <c r="V68" t="n">
        <v>122</v>
      </c>
      <c r="W68" t="n">
        <v>28</v>
      </c>
      <c r="X68" t="n">
        <v>159</v>
      </c>
      <c r="Z68" t="inlineStr">
        <is>
          <t>Low</t>
        </is>
      </c>
      <c r="AA68" t="b">
        <v>0</v>
      </c>
      <c r="AB68" t="b">
        <v>0</v>
      </c>
      <c r="AC68" t="n">
        <v>0</v>
      </c>
    </row>
    <row r="69">
      <c r="A69" t="inlineStr">
        <is>
          <t>2026-07-03</t>
        </is>
      </c>
      <c r="B69" t="inlineStr">
        <is>
          <t>9739418</t>
        </is>
      </c>
      <c r="C69" t="inlineStr">
        <is>
          <t>2247969</t>
        </is>
      </c>
      <c r="D69" t="inlineStr">
        <is>
          <t>Team Mobile</t>
        </is>
      </c>
      <c r="E69" t="inlineStr">
        <is>
          <t>VÕ THANH PHONG</t>
        </is>
      </c>
      <c r="F69" t="inlineStr">
        <is>
          <t>Go-live</t>
        </is>
      </c>
      <c r="G69" t="n">
        <v>7</v>
      </c>
      <c r="H69" t="inlineStr">
        <is>
          <t>Done</t>
        </is>
      </c>
      <c r="I69" t="inlineStr">
        <is>
          <t>Medium</t>
        </is>
      </c>
      <c r="J69" t="inlineStr">
        <is>
          <t>Q1</t>
        </is>
      </c>
      <c r="K69" t="inlineStr">
        <is>
          <t>2026Q1</t>
        </is>
      </c>
      <c r="L69" t="b">
        <v>0</v>
      </c>
      <c r="M69" t="b">
        <v>1</v>
      </c>
      <c r="N69" t="b">
        <v>0</v>
      </c>
      <c r="O69" t="b">
        <v>0</v>
      </c>
      <c r="P69" t="n">
        <v>1</v>
      </c>
      <c r="Q69" t="b">
        <v>1</v>
      </c>
      <c r="R69" t="b">
        <v>1</v>
      </c>
      <c r="S69" t="b">
        <v>0</v>
      </c>
      <c r="T69" t="n">
        <v>0</v>
      </c>
      <c r="V69" t="n">
        <v>122</v>
      </c>
      <c r="W69" t="n">
        <v>19</v>
      </c>
      <c r="X69" t="n">
        <v>90</v>
      </c>
      <c r="Z69" t="inlineStr">
        <is>
          <t>Low</t>
        </is>
      </c>
      <c r="AA69" t="b">
        <v>0</v>
      </c>
      <c r="AB69" t="b">
        <v>0</v>
      </c>
      <c r="AC69" t="n">
        <v>1</v>
      </c>
    </row>
    <row r="70">
      <c r="A70" t="inlineStr">
        <is>
          <t>2026-07-03</t>
        </is>
      </c>
      <c r="B70" t="inlineStr">
        <is>
          <t>9739416</t>
        </is>
      </c>
      <c r="C70" t="inlineStr">
        <is>
          <t>2186435</t>
        </is>
      </c>
      <c r="D70" t="inlineStr">
        <is>
          <t>Team Mobile</t>
        </is>
      </c>
      <c r="E70" t="inlineStr">
        <is>
          <t>VÕ THANH PHONG</t>
        </is>
      </c>
      <c r="F70" t="inlineStr">
        <is>
          <t>Go-live</t>
        </is>
      </c>
      <c r="G70" t="n">
        <v>7</v>
      </c>
      <c r="H70" t="inlineStr">
        <is>
          <t>Done</t>
        </is>
      </c>
      <c r="I70" t="inlineStr">
        <is>
          <t>Medium</t>
        </is>
      </c>
      <c r="J70" t="inlineStr">
        <is>
          <t>Q1</t>
        </is>
      </c>
      <c r="K70" t="inlineStr">
        <is>
          <t>2026Q1</t>
        </is>
      </c>
      <c r="L70" t="b">
        <v>0</v>
      </c>
      <c r="M70" t="b">
        <v>1</v>
      </c>
      <c r="N70" t="b">
        <v>0</v>
      </c>
      <c r="O70" t="b">
        <v>1</v>
      </c>
      <c r="P70" t="n">
        <v>2</v>
      </c>
      <c r="Q70" t="b">
        <v>1</v>
      </c>
      <c r="R70" t="b">
        <v>1</v>
      </c>
      <c r="S70" t="b">
        <v>0</v>
      </c>
      <c r="T70" t="n">
        <v>0</v>
      </c>
      <c r="V70" t="n">
        <v>122</v>
      </c>
      <c r="W70" t="n">
        <v>28</v>
      </c>
      <c r="X70" t="n">
        <v>125</v>
      </c>
      <c r="Z70" t="inlineStr">
        <is>
          <t>Low</t>
        </is>
      </c>
      <c r="AA70" t="b">
        <v>0</v>
      </c>
      <c r="AB70" t="b">
        <v>0</v>
      </c>
      <c r="AC70" t="n">
        <v>1</v>
      </c>
    </row>
    <row r="71">
      <c r="A71" t="inlineStr">
        <is>
          <t>2026-07-03</t>
        </is>
      </c>
      <c r="B71" t="inlineStr">
        <is>
          <t>9739417</t>
        </is>
      </c>
      <c r="C71" t="inlineStr">
        <is>
          <t>2285823</t>
        </is>
      </c>
      <c r="D71" t="inlineStr">
        <is>
          <t>Team Mobile</t>
        </is>
      </c>
      <c r="E71" t="inlineStr">
        <is>
          <t>VÕ THANH PHONG</t>
        </is>
      </c>
      <c r="F71" t="inlineStr">
        <is>
          <t>Go-live</t>
        </is>
      </c>
      <c r="G71" t="n">
        <v>7</v>
      </c>
      <c r="H71" t="inlineStr">
        <is>
          <t>Done</t>
        </is>
      </c>
      <c r="I71" t="inlineStr">
        <is>
          <t>Medium</t>
        </is>
      </c>
      <c r="J71" t="inlineStr">
        <is>
          <t>Q1</t>
        </is>
      </c>
      <c r="K71" t="inlineStr">
        <is>
          <t>2026Q1</t>
        </is>
      </c>
      <c r="L71" t="b">
        <v>0</v>
      </c>
      <c r="M71" t="b">
        <v>1</v>
      </c>
      <c r="N71" t="b">
        <v>0</v>
      </c>
      <c r="O71" t="b">
        <v>0</v>
      </c>
      <c r="P71" t="n">
        <v>1</v>
      </c>
      <c r="Q71" t="b">
        <v>1</v>
      </c>
      <c r="R71" t="b">
        <v>1</v>
      </c>
      <c r="S71" t="b">
        <v>0</v>
      </c>
      <c r="T71" t="n">
        <v>0</v>
      </c>
      <c r="V71" t="n">
        <v>122</v>
      </c>
      <c r="W71" t="n">
        <v>13</v>
      </c>
      <c r="X71" t="n">
        <v>48</v>
      </c>
      <c r="Z71" t="inlineStr">
        <is>
          <t>Low</t>
        </is>
      </c>
      <c r="AA71" t="b">
        <v>0</v>
      </c>
      <c r="AB71" t="b">
        <v>0</v>
      </c>
      <c r="AC71" t="n">
        <v>1</v>
      </c>
    </row>
    <row r="72">
      <c r="A72" t="inlineStr">
        <is>
          <t>2026-07-03</t>
        </is>
      </c>
      <c r="B72" t="inlineStr">
        <is>
          <t>9739421</t>
        </is>
      </c>
      <c r="C72" t="inlineStr">
        <is>
          <t>2224919</t>
        </is>
      </c>
      <c r="D72" t="inlineStr">
        <is>
          <t>Team Mobile</t>
        </is>
      </c>
      <c r="E72" t="inlineStr">
        <is>
          <t>VÕ THANH PHONG</t>
        </is>
      </c>
      <c r="F72" t="inlineStr">
        <is>
          <t>Go-live</t>
        </is>
      </c>
      <c r="G72" t="n">
        <v>7</v>
      </c>
      <c r="H72" t="inlineStr">
        <is>
          <t>Done</t>
        </is>
      </c>
      <c r="I72" t="inlineStr">
        <is>
          <t>Medium</t>
        </is>
      </c>
      <c r="J72" t="inlineStr">
        <is>
          <t>Q1</t>
        </is>
      </c>
      <c r="K72" t="inlineStr">
        <is>
          <t>2026Q1</t>
        </is>
      </c>
      <c r="L72" t="b">
        <v>0</v>
      </c>
      <c r="M72" t="b">
        <v>1</v>
      </c>
      <c r="N72" t="b">
        <v>0</v>
      </c>
      <c r="O72" t="b">
        <v>0</v>
      </c>
      <c r="P72" t="n">
        <v>1</v>
      </c>
      <c r="Q72" t="b">
        <v>1</v>
      </c>
      <c r="R72" t="b">
        <v>1</v>
      </c>
      <c r="S72" t="b">
        <v>0</v>
      </c>
      <c r="T72" t="n">
        <v>0</v>
      </c>
      <c r="V72" t="n">
        <v>122</v>
      </c>
      <c r="W72" t="n">
        <v>18</v>
      </c>
      <c r="X72" t="n">
        <v>87</v>
      </c>
      <c r="Z72" t="inlineStr">
        <is>
          <t>Low</t>
        </is>
      </c>
      <c r="AA72" t="b">
        <v>0</v>
      </c>
      <c r="AB72" t="b">
        <v>0</v>
      </c>
      <c r="AC72" t="n">
        <v>0</v>
      </c>
    </row>
    <row r="73">
      <c r="A73" t="inlineStr">
        <is>
          <t>2026-07-03</t>
        </is>
      </c>
      <c r="B73" t="inlineStr">
        <is>
          <t>9739413</t>
        </is>
      </c>
      <c r="C73" t="inlineStr">
        <is>
          <t>2302697</t>
        </is>
      </c>
      <c r="D73" t="inlineStr">
        <is>
          <t>Team Mobile</t>
        </is>
      </c>
      <c r="E73" t="inlineStr"/>
      <c r="F73" t="inlineStr">
        <is>
          <t>Rejected</t>
        </is>
      </c>
      <c r="G73" t="n">
        <v>-1</v>
      </c>
      <c r="H73" t="inlineStr">
        <is>
          <t>Rejected</t>
        </is>
      </c>
      <c r="I73" t="inlineStr">
        <is>
          <t>Low</t>
        </is>
      </c>
      <c r="J73" t="inlineStr">
        <is>
          <t>Q1</t>
        </is>
      </c>
      <c r="K73" t="inlineStr">
        <is>
          <t>2026Q2</t>
        </is>
      </c>
      <c r="L73" t="b">
        <v>0</v>
      </c>
      <c r="M73" t="b">
        <v>1</v>
      </c>
      <c r="N73" t="b">
        <v>0</v>
      </c>
      <c r="O73" t="b">
        <v>0</v>
      </c>
      <c r="P73" t="n">
        <v>1</v>
      </c>
      <c r="Q73" t="b">
        <v>0</v>
      </c>
      <c r="S73" t="b">
        <v>0</v>
      </c>
      <c r="T73" t="n">
        <v>0</v>
      </c>
      <c r="V73" t="n">
        <v>122</v>
      </c>
      <c r="W73" t="n">
        <v>2</v>
      </c>
      <c r="X73" t="n">
        <v>36</v>
      </c>
      <c r="Z73" t="inlineStr">
        <is>
          <t>Low</t>
        </is>
      </c>
      <c r="AA73" t="b">
        <v>0</v>
      </c>
      <c r="AB73" t="b">
        <v>0</v>
      </c>
      <c r="AC73" t="n">
        <v>0</v>
      </c>
    </row>
    <row r="74">
      <c r="A74" t="inlineStr">
        <is>
          <t>2026-07-03</t>
        </is>
      </c>
      <c r="B74" t="inlineStr">
        <is>
          <t>9739430</t>
        </is>
      </c>
      <c r="C74" t="inlineStr">
        <is>
          <t>2185585</t>
        </is>
      </c>
      <c r="D74" t="inlineStr">
        <is>
          <t>Team Mobile</t>
        </is>
      </c>
      <c r="E74" t="inlineStr">
        <is>
          <t>VÕ THANH PHONG</t>
        </is>
      </c>
      <c r="F74" t="inlineStr">
        <is>
          <t>Go-live</t>
        </is>
      </c>
      <c r="G74" t="n">
        <v>7</v>
      </c>
      <c r="H74" t="inlineStr">
        <is>
          <t>Done</t>
        </is>
      </c>
      <c r="I74" t="inlineStr">
        <is>
          <t>Low</t>
        </is>
      </c>
      <c r="J74" t="inlineStr">
        <is>
          <t>Q1</t>
        </is>
      </c>
      <c r="K74" t="inlineStr">
        <is>
          <t>2026Q1</t>
        </is>
      </c>
      <c r="L74" t="b">
        <v>0</v>
      </c>
      <c r="M74" t="b">
        <v>1</v>
      </c>
      <c r="N74" t="b">
        <v>0</v>
      </c>
      <c r="O74" t="b">
        <v>0</v>
      </c>
      <c r="P74" t="n">
        <v>1</v>
      </c>
      <c r="Q74" t="b">
        <v>0</v>
      </c>
      <c r="S74" t="b">
        <v>0</v>
      </c>
      <c r="T74" t="n">
        <v>0</v>
      </c>
      <c r="V74" t="n">
        <v>122</v>
      </c>
      <c r="W74" t="n">
        <v>0</v>
      </c>
      <c r="X74" t="n">
        <v>102</v>
      </c>
      <c r="Z74" t="inlineStr">
        <is>
          <t>Low</t>
        </is>
      </c>
      <c r="AA74" t="b">
        <v>0</v>
      </c>
      <c r="AB74" t="b">
        <v>0</v>
      </c>
      <c r="AC74" t="n">
        <v>1</v>
      </c>
    </row>
    <row r="75">
      <c r="A75" t="inlineStr">
        <is>
          <t>2026-07-03</t>
        </is>
      </c>
      <c r="B75" t="inlineStr">
        <is>
          <t>9739431</t>
        </is>
      </c>
      <c r="C75" t="inlineStr">
        <is>
          <t>2154685</t>
        </is>
      </c>
      <c r="D75" t="inlineStr">
        <is>
          <t>Team Mobile</t>
        </is>
      </c>
      <c r="E75" t="inlineStr"/>
      <c r="F75" t="inlineStr">
        <is>
          <t>Go-live</t>
        </is>
      </c>
      <c r="G75" t="n">
        <v>7</v>
      </c>
      <c r="H75" t="inlineStr">
        <is>
          <t>Done</t>
        </is>
      </c>
      <c r="I75" t="inlineStr">
        <is>
          <t>Medium</t>
        </is>
      </c>
      <c r="J75" t="inlineStr">
        <is>
          <t>Q1</t>
        </is>
      </c>
      <c r="K75" t="inlineStr">
        <is>
          <t>2026Q1</t>
        </is>
      </c>
      <c r="L75" t="b">
        <v>0</v>
      </c>
      <c r="M75" t="b">
        <v>1</v>
      </c>
      <c r="N75" t="b">
        <v>0</v>
      </c>
      <c r="O75" t="b">
        <v>1</v>
      </c>
      <c r="P75" t="n">
        <v>2</v>
      </c>
      <c r="Q75" t="b">
        <v>0</v>
      </c>
      <c r="S75" t="b">
        <v>0</v>
      </c>
      <c r="T75" t="n">
        <v>0</v>
      </c>
      <c r="V75" t="n">
        <v>122</v>
      </c>
      <c r="W75" t="n">
        <v>0</v>
      </c>
      <c r="X75" t="n">
        <v>112</v>
      </c>
      <c r="Z75" t="inlineStr">
        <is>
          <t>Low</t>
        </is>
      </c>
      <c r="AA75" t="b">
        <v>0</v>
      </c>
      <c r="AB75" t="b">
        <v>0</v>
      </c>
      <c r="AC75" t="n">
        <v>1</v>
      </c>
    </row>
    <row r="76">
      <c r="A76" t="inlineStr">
        <is>
          <t>2026-07-03</t>
        </is>
      </c>
      <c r="B76" t="inlineStr">
        <is>
          <t>9739432</t>
        </is>
      </c>
      <c r="C76" t="inlineStr"/>
      <c r="D76" t="inlineStr">
        <is>
          <t>Team Mobile</t>
        </is>
      </c>
      <c r="E76" t="inlineStr">
        <is>
          <t>VÕ THANH PHONG</t>
        </is>
      </c>
      <c r="F76" t="inlineStr">
        <is>
          <t>Go-live</t>
        </is>
      </c>
      <c r="G76" t="n">
        <v>7</v>
      </c>
      <c r="H76" t="inlineStr">
        <is>
          <t>Done</t>
        </is>
      </c>
      <c r="I76" t="inlineStr">
        <is>
          <t>Medium</t>
        </is>
      </c>
      <c r="J76" t="inlineStr">
        <is>
          <t>Q1</t>
        </is>
      </c>
      <c r="K76" t="inlineStr">
        <is>
          <t>2026Q1</t>
        </is>
      </c>
      <c r="L76" t="b">
        <v>0</v>
      </c>
      <c r="M76" t="b">
        <v>1</v>
      </c>
      <c r="N76" t="b">
        <v>0</v>
      </c>
      <c r="O76" t="b">
        <v>0</v>
      </c>
      <c r="P76" t="n">
        <v>1</v>
      </c>
      <c r="Q76" t="b">
        <v>0</v>
      </c>
      <c r="S76" t="b">
        <v>0</v>
      </c>
      <c r="T76" t="n">
        <v>0</v>
      </c>
      <c r="V76" t="n">
        <v>122</v>
      </c>
      <c r="W76" t="n">
        <v>0</v>
      </c>
      <c r="X76" t="n">
        <v>28</v>
      </c>
      <c r="Z76" t="inlineStr">
        <is>
          <t>Low</t>
        </is>
      </c>
      <c r="AA76" t="b">
        <v>0</v>
      </c>
      <c r="AB76" t="b">
        <v>0</v>
      </c>
      <c r="AC76" t="n">
        <v>0</v>
      </c>
    </row>
    <row r="77">
      <c r="A77" t="inlineStr">
        <is>
          <t>2026-07-03</t>
        </is>
      </c>
      <c r="B77" t="inlineStr">
        <is>
          <t>9739433</t>
        </is>
      </c>
      <c r="C77" t="inlineStr">
        <is>
          <t>2077975</t>
        </is>
      </c>
      <c r="D77" t="inlineStr">
        <is>
          <t>Team Mobile</t>
        </is>
      </c>
      <c r="E77" t="inlineStr"/>
      <c r="F77" t="inlineStr">
        <is>
          <t>Go-live</t>
        </is>
      </c>
      <c r="G77" t="n">
        <v>7</v>
      </c>
      <c r="H77" t="inlineStr">
        <is>
          <t>Done</t>
        </is>
      </c>
      <c r="I77" t="inlineStr">
        <is>
          <t>Low</t>
        </is>
      </c>
      <c r="J77" t="inlineStr">
        <is>
          <t>Q1</t>
        </is>
      </c>
      <c r="K77" t="inlineStr">
        <is>
          <t>2026Q1</t>
        </is>
      </c>
      <c r="L77" t="b">
        <v>0</v>
      </c>
      <c r="M77" t="b">
        <v>1</v>
      </c>
      <c r="N77" t="b">
        <v>0</v>
      </c>
      <c r="O77" t="b">
        <v>0</v>
      </c>
      <c r="P77" t="n">
        <v>1</v>
      </c>
      <c r="Q77" t="b">
        <v>0</v>
      </c>
      <c r="S77" t="b">
        <v>0</v>
      </c>
      <c r="T77" t="n">
        <v>0</v>
      </c>
      <c r="V77" t="n">
        <v>122</v>
      </c>
      <c r="W77" t="n">
        <v>0</v>
      </c>
      <c r="X77" t="n">
        <v>104</v>
      </c>
      <c r="Z77" t="inlineStr">
        <is>
          <t>Low</t>
        </is>
      </c>
      <c r="AA77" t="b">
        <v>0</v>
      </c>
      <c r="AB77" t="b">
        <v>0</v>
      </c>
      <c r="AC77" t="n">
        <v>0</v>
      </c>
    </row>
    <row r="78">
      <c r="A78" t="inlineStr">
        <is>
          <t>2026-07-03</t>
        </is>
      </c>
      <c r="B78" t="inlineStr">
        <is>
          <t>9739434</t>
        </is>
      </c>
      <c r="C78" t="inlineStr">
        <is>
          <t>2196774</t>
        </is>
      </c>
      <c r="D78" t="inlineStr">
        <is>
          <t>Team Mobile</t>
        </is>
      </c>
      <c r="E78" t="inlineStr">
        <is>
          <t>VÕ THANH PHONG</t>
        </is>
      </c>
      <c r="F78" t="inlineStr">
        <is>
          <t>Go-live</t>
        </is>
      </c>
      <c r="G78" t="n">
        <v>7</v>
      </c>
      <c r="H78" t="inlineStr">
        <is>
          <t>Done</t>
        </is>
      </c>
      <c r="I78" t="inlineStr">
        <is>
          <t>Low</t>
        </is>
      </c>
      <c r="J78" t="inlineStr">
        <is>
          <t>Q1</t>
        </is>
      </c>
      <c r="K78" t="inlineStr">
        <is>
          <t>2026Q1</t>
        </is>
      </c>
      <c r="L78" t="b">
        <v>0</v>
      </c>
      <c r="M78" t="b">
        <v>1</v>
      </c>
      <c r="N78" t="b">
        <v>0</v>
      </c>
      <c r="O78" t="b">
        <v>0</v>
      </c>
      <c r="P78" t="n">
        <v>1</v>
      </c>
      <c r="Q78" t="b">
        <v>0</v>
      </c>
      <c r="S78" t="b">
        <v>0</v>
      </c>
      <c r="T78" t="n">
        <v>0</v>
      </c>
      <c r="V78" t="n">
        <v>122</v>
      </c>
      <c r="W78" t="n">
        <v>0</v>
      </c>
      <c r="X78" t="n">
        <v>142</v>
      </c>
      <c r="Z78" t="inlineStr">
        <is>
          <t>Low</t>
        </is>
      </c>
      <c r="AA78" t="b">
        <v>0</v>
      </c>
      <c r="AB78" t="b">
        <v>0</v>
      </c>
      <c r="AC78" t="n">
        <v>0</v>
      </c>
    </row>
    <row r="79">
      <c r="A79" t="inlineStr">
        <is>
          <t>2026-07-03</t>
        </is>
      </c>
      <c r="B79" t="inlineStr">
        <is>
          <t>9739435</t>
        </is>
      </c>
      <c r="C79" t="inlineStr">
        <is>
          <t>2242463</t>
        </is>
      </c>
      <c r="D79" t="inlineStr">
        <is>
          <t>Team Mobile</t>
        </is>
      </c>
      <c r="E79" t="inlineStr">
        <is>
          <t>VÕ THANH PHONG</t>
        </is>
      </c>
      <c r="F79" t="inlineStr">
        <is>
          <t>Go-live</t>
        </is>
      </c>
      <c r="G79" t="n">
        <v>7</v>
      </c>
      <c r="H79" t="inlineStr">
        <is>
          <t>Done</t>
        </is>
      </c>
      <c r="I79" t="inlineStr">
        <is>
          <t>Low</t>
        </is>
      </c>
      <c r="J79" t="inlineStr">
        <is>
          <t>Q1</t>
        </is>
      </c>
      <c r="K79" t="inlineStr">
        <is>
          <t>2026Q1</t>
        </is>
      </c>
      <c r="L79" t="b">
        <v>0</v>
      </c>
      <c r="M79" t="b">
        <v>1</v>
      </c>
      <c r="N79" t="b">
        <v>0</v>
      </c>
      <c r="O79" t="b">
        <v>0</v>
      </c>
      <c r="P79" t="n">
        <v>1</v>
      </c>
      <c r="Q79" t="b">
        <v>0</v>
      </c>
      <c r="S79" t="b">
        <v>0</v>
      </c>
      <c r="T79" t="n">
        <v>0</v>
      </c>
      <c r="V79" t="n">
        <v>122</v>
      </c>
      <c r="W79" t="n">
        <v>0</v>
      </c>
      <c r="Z79" t="inlineStr">
        <is>
          <t>Low</t>
        </is>
      </c>
      <c r="AA79" t="b">
        <v>0</v>
      </c>
      <c r="AB79" t="b">
        <v>0</v>
      </c>
      <c r="AC79" t="n">
        <v>0</v>
      </c>
    </row>
    <row r="80">
      <c r="A80" t="inlineStr">
        <is>
          <t>2026-07-03</t>
        </is>
      </c>
      <c r="B80" t="inlineStr">
        <is>
          <t>9739436</t>
        </is>
      </c>
      <c r="C80" t="inlineStr">
        <is>
          <t>2185583</t>
        </is>
      </c>
      <c r="D80" t="inlineStr">
        <is>
          <t>Team Mobile</t>
        </is>
      </c>
      <c r="E80" t="inlineStr">
        <is>
          <t>VÕ THANH PHONG</t>
        </is>
      </c>
      <c r="F80" t="inlineStr">
        <is>
          <t>Go-live</t>
        </is>
      </c>
      <c r="G80" t="n">
        <v>7</v>
      </c>
      <c r="H80" t="inlineStr">
        <is>
          <t>Done</t>
        </is>
      </c>
      <c r="I80" t="inlineStr">
        <is>
          <t>Low</t>
        </is>
      </c>
      <c r="J80" t="inlineStr">
        <is>
          <t>Q1</t>
        </is>
      </c>
      <c r="K80" t="inlineStr">
        <is>
          <t>2026Q1</t>
        </is>
      </c>
      <c r="L80" t="b">
        <v>0</v>
      </c>
      <c r="M80" t="b">
        <v>1</v>
      </c>
      <c r="N80" t="b">
        <v>0</v>
      </c>
      <c r="O80" t="b">
        <v>0</v>
      </c>
      <c r="P80" t="n">
        <v>1</v>
      </c>
      <c r="Q80" t="b">
        <v>0</v>
      </c>
      <c r="S80" t="b">
        <v>0</v>
      </c>
      <c r="T80" t="n">
        <v>0</v>
      </c>
      <c r="V80" t="n">
        <v>122</v>
      </c>
      <c r="W80" t="n">
        <v>0</v>
      </c>
      <c r="X80" t="n">
        <v>99</v>
      </c>
      <c r="Z80" t="inlineStr">
        <is>
          <t>Low</t>
        </is>
      </c>
      <c r="AA80" t="b">
        <v>0</v>
      </c>
      <c r="AB80" t="b">
        <v>0</v>
      </c>
      <c r="AC80" t="n">
        <v>0</v>
      </c>
    </row>
    <row r="81">
      <c r="A81" t="inlineStr">
        <is>
          <t>2026-07-03</t>
        </is>
      </c>
      <c r="B81" t="inlineStr">
        <is>
          <t>9739106</t>
        </is>
      </c>
      <c r="C81" t="inlineStr">
        <is>
          <t>2213580</t>
        </is>
      </c>
      <c r="D81" t="inlineStr">
        <is>
          <t>Dev Team B</t>
        </is>
      </c>
      <c r="E81" t="inlineStr">
        <is>
          <t>VÕ BẢO MINH</t>
        </is>
      </c>
      <c r="F81" t="inlineStr">
        <is>
          <t>Go-live</t>
        </is>
      </c>
      <c r="G81" t="n">
        <v>7</v>
      </c>
      <c r="H81" t="inlineStr">
        <is>
          <t>Done</t>
        </is>
      </c>
      <c r="I81" t="inlineStr">
        <is>
          <t>Low</t>
        </is>
      </c>
      <c r="J81" t="inlineStr">
        <is>
          <t>Q1</t>
        </is>
      </c>
      <c r="K81" t="inlineStr">
        <is>
          <t>2026Q1</t>
        </is>
      </c>
      <c r="L81" t="b">
        <v>0</v>
      </c>
      <c r="M81" t="b">
        <v>1</v>
      </c>
      <c r="N81" t="b">
        <v>0</v>
      </c>
      <c r="O81" t="b">
        <v>0</v>
      </c>
      <c r="P81" t="n">
        <v>1</v>
      </c>
      <c r="Q81" t="b">
        <v>0</v>
      </c>
      <c r="S81" t="b">
        <v>0</v>
      </c>
      <c r="T81" t="n">
        <v>0</v>
      </c>
      <c r="V81" t="n">
        <v>122</v>
      </c>
      <c r="W81" t="n">
        <v>13</v>
      </c>
      <c r="X81" t="n">
        <v>88</v>
      </c>
      <c r="Z81" t="inlineStr">
        <is>
          <t>Low</t>
        </is>
      </c>
      <c r="AA81" t="b">
        <v>0</v>
      </c>
      <c r="AB81" t="b">
        <v>0</v>
      </c>
      <c r="AC81" t="n">
        <v>1</v>
      </c>
    </row>
    <row r="82">
      <c r="A82" t="inlineStr">
        <is>
          <t>2026-07-03</t>
        </is>
      </c>
      <c r="B82" t="inlineStr">
        <is>
          <t>9739108</t>
        </is>
      </c>
      <c r="C82" t="inlineStr">
        <is>
          <t>2186435</t>
        </is>
      </c>
      <c r="D82" t="inlineStr">
        <is>
          <t>Dev Team B</t>
        </is>
      </c>
      <c r="E82" t="inlineStr">
        <is>
          <t>VÕ BẢO MINH</t>
        </is>
      </c>
      <c r="F82" t="inlineStr">
        <is>
          <t>Go-live</t>
        </is>
      </c>
      <c r="G82" t="n">
        <v>7</v>
      </c>
      <c r="H82" t="inlineStr">
        <is>
          <t>Done</t>
        </is>
      </c>
      <c r="I82" t="inlineStr">
        <is>
          <t>Medium</t>
        </is>
      </c>
      <c r="J82" t="inlineStr">
        <is>
          <t>Q1</t>
        </is>
      </c>
      <c r="K82" t="inlineStr">
        <is>
          <t>2026Q1</t>
        </is>
      </c>
      <c r="L82" t="b">
        <v>0</v>
      </c>
      <c r="M82" t="b">
        <v>1</v>
      </c>
      <c r="N82" t="b">
        <v>0</v>
      </c>
      <c r="O82" t="b">
        <v>1</v>
      </c>
      <c r="P82" t="n">
        <v>2</v>
      </c>
      <c r="Q82" t="b">
        <v>1</v>
      </c>
      <c r="R82" t="b">
        <v>0</v>
      </c>
      <c r="S82" t="b">
        <v>1</v>
      </c>
      <c r="T82" t="n">
        <v>0</v>
      </c>
      <c r="V82" t="n">
        <v>122</v>
      </c>
      <c r="W82" t="n">
        <v>8</v>
      </c>
      <c r="X82" t="n">
        <v>105</v>
      </c>
      <c r="Z82" t="inlineStr">
        <is>
          <t>Low</t>
        </is>
      </c>
      <c r="AA82" t="b">
        <v>0</v>
      </c>
      <c r="AB82" t="b">
        <v>0</v>
      </c>
      <c r="AC82" t="n">
        <v>1</v>
      </c>
    </row>
    <row r="83">
      <c r="A83" t="inlineStr">
        <is>
          <t>2026-07-03</t>
        </is>
      </c>
      <c r="B83" t="inlineStr">
        <is>
          <t>9739105</t>
        </is>
      </c>
      <c r="C83" t="inlineStr">
        <is>
          <t>2065876</t>
        </is>
      </c>
      <c r="D83" t="inlineStr">
        <is>
          <t>Dev Team B</t>
        </is>
      </c>
      <c r="E83" t="inlineStr">
        <is>
          <t>VÕ BẢO MINH</t>
        </is>
      </c>
      <c r="F83" t="inlineStr">
        <is>
          <t>Go-live</t>
        </is>
      </c>
      <c r="G83" t="n">
        <v>7</v>
      </c>
      <c r="H83" t="inlineStr">
        <is>
          <t>Done</t>
        </is>
      </c>
      <c r="I83" t="inlineStr">
        <is>
          <t>Low</t>
        </is>
      </c>
      <c r="J83" t="inlineStr">
        <is>
          <t>Q1</t>
        </is>
      </c>
      <c r="K83" t="inlineStr">
        <is>
          <t>2026Q1</t>
        </is>
      </c>
      <c r="L83" t="b">
        <v>0</v>
      </c>
      <c r="M83" t="b">
        <v>1</v>
      </c>
      <c r="N83" t="b">
        <v>0</v>
      </c>
      <c r="O83" t="b">
        <v>0</v>
      </c>
      <c r="P83" t="n">
        <v>1</v>
      </c>
      <c r="Q83" t="b">
        <v>0</v>
      </c>
      <c r="S83" t="b">
        <v>0</v>
      </c>
      <c r="T83" t="n">
        <v>0</v>
      </c>
      <c r="V83" t="n">
        <v>122</v>
      </c>
      <c r="W83" t="n">
        <v>0</v>
      </c>
      <c r="X83" t="n">
        <v>174</v>
      </c>
      <c r="Z83" t="inlineStr">
        <is>
          <t>Low</t>
        </is>
      </c>
      <c r="AA83" t="b">
        <v>0</v>
      </c>
      <c r="AB83" t="b">
        <v>0</v>
      </c>
      <c r="AC83" t="n">
        <v>1</v>
      </c>
    </row>
    <row r="84">
      <c r="A84" t="inlineStr">
        <is>
          <t>2026-07-03</t>
        </is>
      </c>
      <c r="B84" t="inlineStr">
        <is>
          <t>9744376</t>
        </is>
      </c>
      <c r="C84" t="inlineStr">
        <is>
          <t>1722552</t>
        </is>
      </c>
      <c r="D84" t="inlineStr">
        <is>
          <t>Dev Team B</t>
        </is>
      </c>
      <c r="E84" t="inlineStr">
        <is>
          <t>VÕ BẢO MINH</t>
        </is>
      </c>
      <c r="F84" t="inlineStr">
        <is>
          <t>Go-live</t>
        </is>
      </c>
      <c r="G84" t="n">
        <v>7</v>
      </c>
      <c r="H84" t="inlineStr">
        <is>
          <t>Done</t>
        </is>
      </c>
      <c r="I84" t="inlineStr">
        <is>
          <t>Medium</t>
        </is>
      </c>
      <c r="J84" t="inlineStr">
        <is>
          <t>Q1</t>
        </is>
      </c>
      <c r="K84" t="inlineStr">
        <is>
          <t>2026Q1</t>
        </is>
      </c>
      <c r="L84" t="b">
        <v>0</v>
      </c>
      <c r="M84" t="b">
        <v>1</v>
      </c>
      <c r="N84" t="b">
        <v>0</v>
      </c>
      <c r="O84" t="b">
        <v>0</v>
      </c>
      <c r="P84" t="n">
        <v>1</v>
      </c>
      <c r="Q84" t="b">
        <v>1</v>
      </c>
      <c r="R84" t="b">
        <v>0</v>
      </c>
      <c r="S84" t="b">
        <v>1</v>
      </c>
      <c r="T84" t="n">
        <v>18</v>
      </c>
      <c r="V84" t="n">
        <v>121</v>
      </c>
      <c r="W84" t="n">
        <v>0</v>
      </c>
      <c r="X84" t="n">
        <v>371</v>
      </c>
      <c r="Z84" t="inlineStr">
        <is>
          <t>Low</t>
        </is>
      </c>
      <c r="AA84" t="b">
        <v>0</v>
      </c>
      <c r="AB84" t="b">
        <v>0</v>
      </c>
      <c r="AC8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84"/>
  <sheetViews>
    <sheetView workbookViewId="0">
      <pane ySplit="1" topLeftCell="A2" activePane="bottomLeft" state="frozen"/>
      <selection pane="bottomLeft" activeCell="A1" sqref="A1"/>
    </sheetView>
  </sheetViews>
  <sheetFormatPr baseColWidth="8" defaultRowHeight="15"/>
  <sheetData>
    <row r="1">
      <c r="A1" s="26" t="inlineStr">
        <is>
          <t>task_id</t>
        </is>
      </c>
      <c r="B1" s="26" t="inlineStr">
        <is>
          <t>request_id</t>
        </is>
      </c>
      <c r="C1" s="26" t="inlineStr">
        <is>
          <t>task_name</t>
        </is>
      </c>
      <c r="D1" s="26" t="inlineStr">
        <is>
          <t>category</t>
        </is>
      </c>
      <c r="E1" s="26" t="inlineStr">
        <is>
          <t>dept_tag</t>
        </is>
      </c>
      <c r="F1" s="26" t="inlineStr">
        <is>
          <t>metatype</t>
        </is>
      </c>
      <c r="G1" s="26" t="inlineStr">
        <is>
          <t>parent_id</t>
        </is>
      </c>
      <c r="H1" s="26" t="inlineStr">
        <is>
          <t>jira_url</t>
        </is>
      </c>
      <c r="I1" s="26" t="inlineStr">
        <is>
          <t>owner_division</t>
        </is>
      </c>
      <c r="J1" s="26" t="inlineStr">
        <is>
          <t>created_at</t>
        </is>
      </c>
      <c r="K1" s="26" t="inlineStr">
        <is>
          <t>start_at</t>
        </is>
      </c>
      <c r="L1" s="26" t="inlineStr">
        <is>
          <t>deadline_at</t>
        </is>
      </c>
      <c r="M1" s="26" t="inlineStr">
        <is>
          <t>completed_at</t>
        </is>
      </c>
      <c r="N1" s="26" t="inlineStr">
        <is>
          <t>cr_received</t>
        </is>
      </c>
      <c r="O1" s="26" t="inlineStr">
        <is>
          <t>cr_recommit</t>
        </is>
      </c>
      <c r="P1" s="26" t="inlineStr">
        <is>
          <t>last_review</t>
        </is>
      </c>
      <c r="Q1" s="26" t="inlineStr">
        <is>
          <t>reason</t>
        </is>
      </c>
      <c r="R1" s="26" t="inlineStr">
        <is>
          <t>wr_assessment</t>
        </is>
      </c>
      <c r="S1" s="26" t="inlineStr">
        <is>
          <t>wr_next</t>
        </is>
      </c>
    </row>
    <row r="2">
      <c r="A2" t="inlineStr">
        <is>
          <t>10347513</t>
        </is>
      </c>
      <c r="B2" t="inlineStr"/>
      <c r="C2" t="inlineStr">
        <is>
          <t>[Flex.MSP] Hệ thống điện chuyển mạch VSDC</t>
        </is>
      </c>
      <c r="D2" t="inlineStr">
        <is>
          <t>CR</t>
        </is>
      </c>
      <c r="E2" t="inlineStr"/>
      <c r="F2" t="inlineStr">
        <is>
          <t>Task</t>
        </is>
      </c>
      <c r="G2" t="inlineStr">
        <is>
          <t>0</t>
        </is>
      </c>
      <c r="H2" t="inlineStr"/>
      <c r="I2" t="inlineStr"/>
      <c r="J2" s="27" t="n">
        <v>46206.43125</v>
      </c>
      <c r="Q2" t="inlineStr"/>
      <c r="R2" t="inlineStr"/>
      <c r="S2" t="inlineStr"/>
    </row>
    <row r="3">
      <c r="A3" t="inlineStr">
        <is>
          <t>10274446</t>
        </is>
      </c>
      <c r="B3" t="inlineStr">
        <is>
          <t>2129248</t>
        </is>
      </c>
      <c r="C3" t="inlineStr">
        <is>
          <t>[CR] [2129248] [RMD] Add Special room information for Locations</t>
        </is>
      </c>
      <c r="D3" t="inlineStr">
        <is>
          <t>CR</t>
        </is>
      </c>
      <c r="E3" t="inlineStr">
        <is>
          <t>RMD</t>
        </is>
      </c>
      <c r="F3" t="inlineStr">
        <is>
          <t>Task</t>
        </is>
      </c>
      <c r="G3" t="inlineStr">
        <is>
          <t>0</t>
        </is>
      </c>
      <c r="H3" t="inlineStr">
        <is>
          <t>https://dev-ftl-jira.phs.vn/browse/PP-65</t>
        </is>
      </c>
      <c r="I3" t="inlineStr">
        <is>
          <t>RMD</t>
        </is>
      </c>
      <c r="J3" s="27" t="n">
        <v>46192.40208333333</v>
      </c>
      <c r="L3" s="27" t="n">
        <v>46202.99930555555</v>
      </c>
      <c r="M3" s="27" t="n">
        <v>46205.66875</v>
      </c>
      <c r="N3" s="27" t="n">
        <v>45946</v>
      </c>
      <c r="O3" s="27" t="n">
        <v>46149</v>
      </c>
      <c r="Q3" t="inlineStr"/>
      <c r="R3" t="inlineStr"/>
      <c r="S3" t="inlineStr"/>
    </row>
    <row r="4">
      <c r="A4" t="inlineStr">
        <is>
          <t>10223433</t>
        </is>
      </c>
      <c r="B4" t="inlineStr">
        <is>
          <t>2335404</t>
        </is>
      </c>
      <c r="C4" t="inlineStr">
        <is>
          <t>[CR] [2335404] [RMD] Upgrade the automatic limit adjustment feature on Customer Portal Admin</t>
        </is>
      </c>
      <c r="D4" t="inlineStr">
        <is>
          <t>CR</t>
        </is>
      </c>
      <c r="E4" t="inlineStr">
        <is>
          <t>RMD</t>
        </is>
      </c>
      <c r="F4" t="inlineStr">
        <is>
          <t>Task</t>
        </is>
      </c>
      <c r="G4" t="inlineStr">
        <is>
          <t>0</t>
        </is>
      </c>
      <c r="H4" t="inlineStr">
        <is>
          <t>https://dev-ftl-jira.phs.vn/browse/PP-50</t>
        </is>
      </c>
      <c r="I4" t="inlineStr">
        <is>
          <t>RMD</t>
        </is>
      </c>
      <c r="J4" s="27" t="n">
        <v>46181.57638888889</v>
      </c>
      <c r="L4" s="27" t="n">
        <v>46185.99930555555</v>
      </c>
      <c r="M4" s="27" t="n">
        <v>46185.34444444445</v>
      </c>
      <c r="N4" s="27" t="n">
        <v>46118</v>
      </c>
      <c r="O4" s="27" t="n">
        <v>46167</v>
      </c>
      <c r="Q4" t="inlineStr"/>
      <c r="R4" t="inlineStr"/>
      <c r="S4" t="inlineStr"/>
    </row>
    <row r="5">
      <c r="A5" t="inlineStr">
        <is>
          <t>10055830</t>
        </is>
      </c>
      <c r="B5" t="inlineStr">
        <is>
          <t>2084592</t>
        </is>
      </c>
      <c r="C5" t="inlineStr">
        <is>
          <t>[CR] [2084592] [RMD] Calculate interest for accounts using special interest rate products</t>
        </is>
      </c>
      <c r="D5" t="inlineStr">
        <is>
          <t>CR</t>
        </is>
      </c>
      <c r="E5" t="inlineStr">
        <is>
          <t>RMD</t>
        </is>
      </c>
      <c r="F5" t="inlineStr">
        <is>
          <t>Task</t>
        </is>
      </c>
      <c r="G5" t="inlineStr">
        <is>
          <t>0</t>
        </is>
      </c>
      <c r="H5" t="inlineStr">
        <is>
          <t>https://dev-ftl-jira.phs.vn/browse/PP-15</t>
        </is>
      </c>
      <c r="I5" t="inlineStr">
        <is>
          <t>RMD</t>
        </is>
      </c>
      <c r="J5" s="27" t="n">
        <v>46147.73402777778</v>
      </c>
      <c r="L5" s="27" t="n">
        <v>46157.99930555555</v>
      </c>
      <c r="M5" s="27" t="n">
        <v>46158.33402777778</v>
      </c>
      <c r="N5" s="27" t="n">
        <v>45934</v>
      </c>
      <c r="O5" s="27" t="n">
        <v>46049</v>
      </c>
      <c r="Q5" t="inlineStr"/>
      <c r="R5" t="inlineStr"/>
      <c r="S5" t="inlineStr"/>
    </row>
    <row r="6">
      <c r="A6" t="inlineStr">
        <is>
          <t>9739419</t>
        </is>
      </c>
      <c r="B6" t="inlineStr">
        <is>
          <t>2084592</t>
        </is>
      </c>
      <c r="C6" t="inlineStr">
        <is>
          <t>[CR] [2084592] [RMD] Declare Limit &amp; Type For Account Using Special Product on FLEX system</t>
        </is>
      </c>
      <c r="D6" t="inlineStr">
        <is>
          <t>CR</t>
        </is>
      </c>
      <c r="E6" t="inlineStr">
        <is>
          <t>RMD</t>
        </is>
      </c>
      <c r="F6" t="inlineStr">
        <is>
          <t>Task</t>
        </is>
      </c>
      <c r="G6" t="inlineStr">
        <is>
          <t>0</t>
        </is>
      </c>
      <c r="H6" t="inlineStr">
        <is>
          <t>https://dev-ftl-jira.phs.vn/browse/MEA-585</t>
        </is>
      </c>
      <c r="I6" t="inlineStr">
        <is>
          <t>RMD</t>
        </is>
      </c>
      <c r="J6" s="27" t="n">
        <v>46084.69375</v>
      </c>
      <c r="K6" s="27" t="n">
        <v>46055</v>
      </c>
      <c r="L6" s="27" t="n">
        <v>46173.99930555555</v>
      </c>
      <c r="N6" s="27" t="n">
        <v>45934</v>
      </c>
      <c r="O6" s="27" t="n">
        <v>46064</v>
      </c>
      <c r="P6" s="27" t="n">
        <v>46204</v>
      </c>
      <c r="Q6" t="inlineStr"/>
      <c r="R6" t="inlineStr">
        <is>
          <t>BA đã gửi mail hỏi next step nhưng RMD không phản hồi</t>
        </is>
      </c>
      <c r="S6" t="inlineStr">
        <is>
          <t>No</t>
        </is>
      </c>
    </row>
    <row r="7">
      <c r="A7" t="inlineStr">
        <is>
          <t>9739414</t>
        </is>
      </c>
      <c r="B7" t="inlineStr">
        <is>
          <t>2149046</t>
        </is>
      </c>
      <c r="C7" t="inlineStr">
        <is>
          <t>[CR] [2149046] [IT] EKYC</t>
        </is>
      </c>
      <c r="D7" t="inlineStr">
        <is>
          <t>CR</t>
        </is>
      </c>
      <c r="E7" t="inlineStr">
        <is>
          <t>IT</t>
        </is>
      </c>
      <c r="F7" t="inlineStr">
        <is>
          <t>Task</t>
        </is>
      </c>
      <c r="G7" t="inlineStr">
        <is>
          <t>0</t>
        </is>
      </c>
      <c r="H7" t="inlineStr">
        <is>
          <t>https://dev-ftl-jira.phs.vn/browse/MEA-710</t>
        </is>
      </c>
      <c r="I7" t="inlineStr">
        <is>
          <t>IT</t>
        </is>
      </c>
      <c r="J7" s="27" t="n">
        <v>46084.69375</v>
      </c>
      <c r="L7" s="27" t="n">
        <v>46164.99930555555</v>
      </c>
      <c r="P7" s="27" t="n">
        <v>46203</v>
      </c>
      <c r="Q7" t="inlineStr"/>
      <c r="R7" t="inlineStr">
        <is>
          <t>VNPT cung cấp SDK và giải pháp chưa đáp ứng được nhu cầu rút gọn hoàn toàn EKYC và quét khuôn mặt</t>
        </is>
      </c>
      <c r="S7" t="inlineStr">
        <is>
          <t>Chờ VNPT đánh giá</t>
        </is>
      </c>
    </row>
    <row r="8">
      <c r="A8" t="inlineStr">
        <is>
          <t>9739427</t>
        </is>
      </c>
      <c r="B8" t="inlineStr">
        <is>
          <t>2283752</t>
        </is>
      </c>
      <c r="C8" t="inlineStr">
        <is>
          <t>[CR] [2283752] [SS] Send Notification via Elite App and mail all right issue</t>
        </is>
      </c>
      <c r="D8" t="inlineStr">
        <is>
          <t>CR</t>
        </is>
      </c>
      <c r="E8" t="inlineStr">
        <is>
          <t>SS</t>
        </is>
      </c>
      <c r="F8" t="inlineStr">
        <is>
          <t>Task</t>
        </is>
      </c>
      <c r="G8" t="inlineStr">
        <is>
          <t>0</t>
        </is>
      </c>
      <c r="H8" t="inlineStr">
        <is>
          <t>https://dev-ftl-jira.phs.vn/browse/MEA-885</t>
        </is>
      </c>
      <c r="I8" t="inlineStr">
        <is>
          <t>SS</t>
        </is>
      </c>
      <c r="J8" s="27" t="n">
        <v>46084.69444444445</v>
      </c>
      <c r="N8" s="27" t="n">
        <v>46049</v>
      </c>
      <c r="P8" s="27" t="n">
        <v>46204</v>
      </c>
      <c r="Q8" t="inlineStr"/>
      <c r="R8" t="inlineStr">
        <is>
          <t>Luồng hệ thống thiếu gọi API đăng ký gói trả phí vào Core</t>
        </is>
      </c>
      <c r="S8" t="inlineStr">
        <is>
          <t>Thảo luận để tìm solution</t>
        </is>
      </c>
    </row>
    <row r="9">
      <c r="A9" t="inlineStr">
        <is>
          <t>9739415</t>
        </is>
      </c>
      <c r="B9" t="inlineStr">
        <is>
          <t>2238356</t>
        </is>
      </c>
      <c r="C9" t="inlineStr">
        <is>
          <t>[CR] [2238356] [MSD] ADVANCE MARGIN FOR DERIVATIVES</t>
        </is>
      </c>
      <c r="D9" t="inlineStr">
        <is>
          <t>CR</t>
        </is>
      </c>
      <c r="E9" t="inlineStr">
        <is>
          <t>MSD</t>
        </is>
      </c>
      <c r="F9" t="inlineStr">
        <is>
          <t>Task</t>
        </is>
      </c>
      <c r="G9" t="inlineStr">
        <is>
          <t>0</t>
        </is>
      </c>
      <c r="H9" t="inlineStr">
        <is>
          <t>https://dev-ftl-jira.phs.vn/browse/MEA-685</t>
        </is>
      </c>
      <c r="I9" t="inlineStr">
        <is>
          <t>SS</t>
        </is>
      </c>
      <c r="J9" s="27" t="n">
        <v>46084.69375</v>
      </c>
      <c r="K9" s="27" t="n">
        <v>46093</v>
      </c>
      <c r="L9" s="27" t="n">
        <v>46171.99930555555</v>
      </c>
      <c r="N9" s="27" t="n">
        <v>46017</v>
      </c>
      <c r="P9" s="27" t="n">
        <v>46204</v>
      </c>
      <c r="Q9" t="inlineStr"/>
      <c r="R9" t="inlineStr">
        <is>
          <t>FSS điều chỉnh công thức theo yêu cầu của MSD</t>
        </is>
      </c>
      <c r="S9" t="inlineStr">
        <is>
          <t>MSD test</t>
        </is>
      </c>
    </row>
    <row r="10">
      <c r="A10" t="inlineStr">
        <is>
          <t>9953694</t>
        </is>
      </c>
      <c r="B10" t="inlineStr">
        <is>
          <t>2335404</t>
        </is>
      </c>
      <c r="C10" t="inlineStr">
        <is>
          <t>[CR] [2335404] Upgrade the automatic limit adjustment feature</t>
        </is>
      </c>
      <c r="D10" t="inlineStr">
        <is>
          <t>CR</t>
        </is>
      </c>
      <c r="E10" t="inlineStr"/>
      <c r="F10" t="inlineStr">
        <is>
          <t>Task</t>
        </is>
      </c>
      <c r="G10" t="inlineStr">
        <is>
          <t>0</t>
        </is>
      </c>
      <c r="H10" t="inlineStr">
        <is>
          <t>https://dev-ftl-jira.phs.vn/browse/MEA-1212</t>
        </is>
      </c>
      <c r="I10" t="inlineStr">
        <is>
          <t>RMD</t>
        </is>
      </c>
      <c r="J10" s="27" t="n">
        <v>46125.72361111111</v>
      </c>
      <c r="N10" s="27" t="n">
        <v>46118</v>
      </c>
      <c r="P10" s="27" t="n">
        <v>46204</v>
      </c>
      <c r="Q10" t="inlineStr"/>
      <c r="R10" t="inlineStr">
        <is>
          <t>RMD thêm chức năng hiện popup cảnh báo khi hệ thống đang chạy batch</t>
        </is>
      </c>
      <c r="S10" t="inlineStr">
        <is>
          <t>MW code</t>
        </is>
      </c>
    </row>
    <row r="11">
      <c r="A11" t="inlineStr">
        <is>
          <t>10340145</t>
        </is>
      </c>
      <c r="B11" t="inlineStr">
        <is>
          <t>2330515</t>
        </is>
      </c>
      <c r="C11" t="inlineStr">
        <is>
          <t>[CR] [2330515] [RMD] IPO Share Subscription Feature</t>
        </is>
      </c>
      <c r="D11" t="inlineStr">
        <is>
          <t>CR</t>
        </is>
      </c>
      <c r="E11" t="inlineStr">
        <is>
          <t>RMD</t>
        </is>
      </c>
      <c r="F11" t="inlineStr">
        <is>
          <t>Task</t>
        </is>
      </c>
      <c r="G11" t="inlineStr">
        <is>
          <t>0</t>
        </is>
      </c>
      <c r="H11" t="inlineStr"/>
      <c r="I11" t="inlineStr">
        <is>
          <t>RMD</t>
        </is>
      </c>
      <c r="J11" s="27" t="n">
        <v>46205.37222222222</v>
      </c>
      <c r="N11" s="27" t="n">
        <v>46104</v>
      </c>
      <c r="Q11" t="inlineStr"/>
      <c r="R11" t="inlineStr"/>
      <c r="S11" t="inlineStr"/>
    </row>
    <row r="12">
      <c r="A12" t="inlineStr">
        <is>
          <t>10340143</t>
        </is>
      </c>
      <c r="B12" t="inlineStr">
        <is>
          <t>2415056</t>
        </is>
      </c>
      <c r="C12" t="inlineStr">
        <is>
          <t>[CR] [2415056] [MKT] Implementation of “Partner Offers” on PHS Mobile App</t>
        </is>
      </c>
      <c r="D12" t="inlineStr">
        <is>
          <t>CR</t>
        </is>
      </c>
      <c r="E12" t="inlineStr">
        <is>
          <t>MKT</t>
        </is>
      </c>
      <c r="F12" t="inlineStr">
        <is>
          <t>Task</t>
        </is>
      </c>
      <c r="G12" t="inlineStr">
        <is>
          <t>0</t>
        </is>
      </c>
      <c r="H12" t="inlineStr"/>
      <c r="I12" t="inlineStr">
        <is>
          <t>MKT</t>
        </is>
      </c>
      <c r="J12" s="27" t="n">
        <v>46205.37152777778</v>
      </c>
      <c r="N12" s="27" t="n">
        <v>46128</v>
      </c>
      <c r="Q12" t="inlineStr"/>
      <c r="R12" t="inlineStr"/>
      <c r="S12" t="inlineStr"/>
    </row>
    <row r="13">
      <c r="A13" t="inlineStr">
        <is>
          <t>10340127</t>
        </is>
      </c>
      <c r="B13" t="inlineStr">
        <is>
          <t>2425861</t>
        </is>
      </c>
      <c r="C13" t="inlineStr">
        <is>
          <t>[CR] [2425861] [RS] Research Portal: Phase 2</t>
        </is>
      </c>
      <c r="D13" t="inlineStr">
        <is>
          <t>CR</t>
        </is>
      </c>
      <c r="E13" t="inlineStr">
        <is>
          <t>RS</t>
        </is>
      </c>
      <c r="F13" t="inlineStr">
        <is>
          <t>Task</t>
        </is>
      </c>
      <c r="G13" t="inlineStr">
        <is>
          <t>0</t>
        </is>
      </c>
      <c r="H13" t="inlineStr"/>
      <c r="I13" t="inlineStr">
        <is>
          <t>RS</t>
        </is>
      </c>
      <c r="J13" s="27" t="n">
        <v>46205.37152777778</v>
      </c>
      <c r="N13" s="27" t="n">
        <v>46135</v>
      </c>
      <c r="Q13" t="inlineStr"/>
      <c r="R13" t="inlineStr"/>
      <c r="S13" t="inlineStr"/>
    </row>
    <row r="14">
      <c r="A14" t="inlineStr">
        <is>
          <t>10340024</t>
        </is>
      </c>
      <c r="B14" t="inlineStr">
        <is>
          <t>2426812</t>
        </is>
      </c>
      <c r="C14" t="inlineStr">
        <is>
          <t>[CR] [2426812] [MKT] Merge CCC &amp; RS chatbot into one Master Client Chatbot</t>
        </is>
      </c>
      <c r="D14" t="inlineStr">
        <is>
          <t>CR</t>
        </is>
      </c>
      <c r="E14" t="inlineStr">
        <is>
          <t>MKT</t>
        </is>
      </c>
      <c r="F14" t="inlineStr">
        <is>
          <t>Task</t>
        </is>
      </c>
      <c r="G14" t="inlineStr">
        <is>
          <t>0</t>
        </is>
      </c>
      <c r="H14" t="inlineStr"/>
      <c r="I14" t="inlineStr">
        <is>
          <t>MKT</t>
        </is>
      </c>
      <c r="J14" s="27" t="n">
        <v>46205.36388888889</v>
      </c>
      <c r="N14" s="27" t="n">
        <v>46136</v>
      </c>
      <c r="Q14" t="inlineStr"/>
      <c r="R14" t="inlineStr"/>
      <c r="S14" t="inlineStr"/>
    </row>
    <row r="15">
      <c r="A15" t="inlineStr">
        <is>
          <t>10340021</t>
        </is>
      </c>
      <c r="B15" t="inlineStr">
        <is>
          <t>2403987</t>
        </is>
      </c>
      <c r="C15" t="inlineStr">
        <is>
          <t>[CR] [2403987] [SS] Loyalty System - Phase 1</t>
        </is>
      </c>
      <c r="D15" t="inlineStr">
        <is>
          <t>CR</t>
        </is>
      </c>
      <c r="E15" t="inlineStr">
        <is>
          <t>SS</t>
        </is>
      </c>
      <c r="F15" t="inlineStr">
        <is>
          <t>Task</t>
        </is>
      </c>
      <c r="G15" t="inlineStr">
        <is>
          <t>0</t>
        </is>
      </c>
      <c r="H15" t="inlineStr"/>
      <c r="I15" t="inlineStr">
        <is>
          <t>SS</t>
        </is>
      </c>
      <c r="J15" s="27" t="n">
        <v>46205.3625</v>
      </c>
      <c r="N15" s="27" t="n">
        <v>46022</v>
      </c>
      <c r="O15" s="27" t="n">
        <v>46156</v>
      </c>
      <c r="Q15" t="inlineStr"/>
      <c r="R15" t="inlineStr"/>
      <c r="S15" t="inlineStr"/>
    </row>
    <row r="16">
      <c r="A16" t="inlineStr">
        <is>
          <t>10340020</t>
        </is>
      </c>
      <c r="B16" t="inlineStr">
        <is>
          <t>2540233</t>
        </is>
      </c>
      <c r="C16" t="inlineStr">
        <is>
          <t>[CR] [2540233] [SS] FIFA WORLD CUP CHALLENGE 2026</t>
        </is>
      </c>
      <c r="D16" t="inlineStr">
        <is>
          <t>CR</t>
        </is>
      </c>
      <c r="E16" t="inlineStr">
        <is>
          <t>SS</t>
        </is>
      </c>
      <c r="F16" t="inlineStr">
        <is>
          <t>Task</t>
        </is>
      </c>
      <c r="G16" t="inlineStr">
        <is>
          <t>0</t>
        </is>
      </c>
      <c r="H16" t="inlineStr"/>
      <c r="I16" t="inlineStr">
        <is>
          <t>SS</t>
        </is>
      </c>
      <c r="J16" s="27" t="n">
        <v>46205.3625</v>
      </c>
      <c r="Q16" t="inlineStr"/>
      <c r="R16" t="inlineStr"/>
      <c r="S16" t="inlineStr"/>
    </row>
    <row r="17">
      <c r="A17" t="inlineStr">
        <is>
          <t>10058431</t>
        </is>
      </c>
      <c r="B17" t="inlineStr">
        <is>
          <t>1954732</t>
        </is>
      </c>
      <c r="C17" t="inlineStr">
        <is>
          <t>[CR] [1954732] [HR] HR report automation</t>
        </is>
      </c>
      <c r="D17" t="inlineStr">
        <is>
          <t>CR</t>
        </is>
      </c>
      <c r="E17" t="inlineStr">
        <is>
          <t>HR</t>
        </is>
      </c>
      <c r="F17" t="inlineStr">
        <is>
          <t>Task</t>
        </is>
      </c>
      <c r="G17" t="inlineStr">
        <is>
          <t>0</t>
        </is>
      </c>
      <c r="H17" t="inlineStr"/>
      <c r="I17" t="inlineStr">
        <is>
          <t>HR</t>
        </is>
      </c>
      <c r="J17" s="27" t="n">
        <v>46148.35694444444</v>
      </c>
      <c r="Q17" t="inlineStr"/>
      <c r="R17" t="inlineStr"/>
      <c r="S17" t="inlineStr"/>
    </row>
    <row r="18">
      <c r="A18" t="inlineStr">
        <is>
          <t>9956873</t>
        </is>
      </c>
      <c r="B18" t="inlineStr">
        <is>
          <t>1923581</t>
        </is>
      </c>
      <c r="C18" t="inlineStr">
        <is>
          <t>[CR] [1923581] [RMD] Tool to control the number of positions that need to be closed out</t>
        </is>
      </c>
      <c r="D18" t="inlineStr">
        <is>
          <t>CR</t>
        </is>
      </c>
      <c r="E18" t="inlineStr">
        <is>
          <t>RMD</t>
        </is>
      </c>
      <c r="F18" t="inlineStr">
        <is>
          <t>Task</t>
        </is>
      </c>
      <c r="G18" t="inlineStr">
        <is>
          <t>0</t>
        </is>
      </c>
      <c r="H18" t="inlineStr">
        <is>
          <t>https://dev-ftl-jira.phs.vn/browse/PP-17</t>
        </is>
      </c>
      <c r="I18" t="inlineStr">
        <is>
          <t>RMD</t>
        </is>
      </c>
      <c r="J18" s="27" t="n">
        <v>46126.39236111111</v>
      </c>
      <c r="Q18" t="inlineStr"/>
      <c r="R18" t="inlineStr"/>
      <c r="S18" t="inlineStr"/>
    </row>
    <row r="19">
      <c r="A19" t="inlineStr">
        <is>
          <t>10059258</t>
        </is>
      </c>
      <c r="B19" t="inlineStr">
        <is>
          <t>2403987</t>
        </is>
      </c>
      <c r="C19" t="inlineStr">
        <is>
          <t>[CR] [2403987] [SS] Loyalty System - Phase 1 - Login Screen</t>
        </is>
      </c>
      <c r="D19" t="inlineStr">
        <is>
          <t>CR</t>
        </is>
      </c>
      <c r="E19" t="inlineStr">
        <is>
          <t>SS</t>
        </is>
      </c>
      <c r="F19" t="inlineStr">
        <is>
          <t>Task</t>
        </is>
      </c>
      <c r="G19" t="inlineStr">
        <is>
          <t>0</t>
        </is>
      </c>
      <c r="H19" t="inlineStr"/>
      <c r="I19" t="inlineStr">
        <is>
          <t>SS</t>
        </is>
      </c>
      <c r="J19" s="27" t="n">
        <v>46148.57916666667</v>
      </c>
      <c r="N19" s="27" t="n">
        <v>46022</v>
      </c>
      <c r="O19" s="27" t="n">
        <v>46156</v>
      </c>
      <c r="P19" s="27" t="n">
        <v>46205</v>
      </c>
      <c r="Q19" t="inlineStr"/>
      <c r="R19" t="inlineStr">
        <is>
          <t>Hoàn thành các setup cơ bản cho webadmin và màn hình Login</t>
        </is>
      </c>
      <c r="S19" t="inlineStr">
        <is>
          <t>Bổ sung cơ chế xác thực MFA với Google Authenticator</t>
        </is>
      </c>
    </row>
    <row r="20">
      <c r="A20" t="inlineStr">
        <is>
          <t>9956507</t>
        </is>
      </c>
      <c r="B20" t="inlineStr">
        <is>
          <t>2275303</t>
        </is>
      </c>
      <c r="C20" t="inlineStr">
        <is>
          <t>[CR] [2275303] [SS] Enhance securities depository features via the PHS Elite Trading application</t>
        </is>
      </c>
      <c r="D20" t="inlineStr">
        <is>
          <t>CR</t>
        </is>
      </c>
      <c r="E20" t="inlineStr">
        <is>
          <t>SS</t>
        </is>
      </c>
      <c r="F20" t="inlineStr">
        <is>
          <t>Task</t>
        </is>
      </c>
      <c r="G20" t="inlineStr">
        <is>
          <t>0</t>
        </is>
      </c>
      <c r="H20" t="inlineStr">
        <is>
          <t>https://dev-ftl-jira.phs.vn/browse/PP-29</t>
        </is>
      </c>
      <c r="I20" t="inlineStr">
        <is>
          <t>SS</t>
        </is>
      </c>
      <c r="J20" s="27" t="n">
        <v>46126.38680555556</v>
      </c>
      <c r="L20" s="27" t="n">
        <v>46146.99930555555</v>
      </c>
      <c r="M20" s="27" t="n">
        <v>46147.73819444444</v>
      </c>
      <c r="N20" s="27" t="n">
        <v>46049</v>
      </c>
      <c r="O20" s="27" t="n">
        <v>46136</v>
      </c>
      <c r="Q20" t="inlineStr"/>
      <c r="R20" t="inlineStr"/>
      <c r="S20" t="inlineStr"/>
    </row>
    <row r="21">
      <c r="A21" t="inlineStr">
        <is>
          <t>9956961</t>
        </is>
      </c>
      <c r="B21" t="inlineStr">
        <is>
          <t>2400155</t>
        </is>
      </c>
      <c r="C21" t="inlineStr">
        <is>
          <t>[CR] [2400155] [MKT] Develop Mission Tracking Page for Promotion</t>
        </is>
      </c>
      <c r="D21" t="inlineStr">
        <is>
          <t>CR</t>
        </is>
      </c>
      <c r="E21" t="inlineStr">
        <is>
          <t>MKT</t>
        </is>
      </c>
      <c r="F21" t="inlineStr">
        <is>
          <t>Task</t>
        </is>
      </c>
      <c r="G21" t="inlineStr">
        <is>
          <t>0</t>
        </is>
      </c>
      <c r="H21" t="inlineStr">
        <is>
          <t>https://dev-ftl-jira.phs.vn/browse/PP-39</t>
        </is>
      </c>
      <c r="I21" t="inlineStr">
        <is>
          <t>MKT</t>
        </is>
      </c>
      <c r="J21" s="27" t="n">
        <v>46126.40486111111</v>
      </c>
      <c r="L21" s="27" t="n">
        <v>46199.99930555555</v>
      </c>
      <c r="M21" s="27" t="n">
        <v>46202.34513888889</v>
      </c>
      <c r="N21" s="27" t="n">
        <v>46125</v>
      </c>
      <c r="Q21" t="inlineStr"/>
      <c r="R21" t="inlineStr"/>
      <c r="S21" t="inlineStr"/>
    </row>
    <row r="22">
      <c r="A22" t="inlineStr">
        <is>
          <t>10055837</t>
        </is>
      </c>
      <c r="B22" t="inlineStr">
        <is>
          <t>2423945</t>
        </is>
      </c>
      <c r="C22" t="inlineStr">
        <is>
          <t>[CR] [2423945] [SS] Enhance the promotional declaration feature on the Admin Portal</t>
        </is>
      </c>
      <c r="D22" t="inlineStr">
        <is>
          <t>CR</t>
        </is>
      </c>
      <c r="E22" t="inlineStr">
        <is>
          <t>SS</t>
        </is>
      </c>
      <c r="F22" t="inlineStr">
        <is>
          <t>Task</t>
        </is>
      </c>
      <c r="G22" t="inlineStr">
        <is>
          <t>0</t>
        </is>
      </c>
      <c r="H22" t="inlineStr">
        <is>
          <t>https://dev-ftl-jira.phs.vn/browse/PP-40</t>
        </is>
      </c>
      <c r="I22" t="inlineStr">
        <is>
          <t>SS</t>
        </is>
      </c>
      <c r="J22" s="27" t="n">
        <v>46147.74166666667</v>
      </c>
      <c r="M22" s="27" t="n">
        <v>46174.34097222222</v>
      </c>
      <c r="N22" s="27" t="n">
        <v>46146</v>
      </c>
      <c r="Q22" t="inlineStr"/>
      <c r="R22" t="inlineStr"/>
      <c r="S22" t="inlineStr"/>
    </row>
    <row r="23">
      <c r="A23" t="inlineStr">
        <is>
          <t>9956498</t>
        </is>
      </c>
      <c r="B23" t="inlineStr">
        <is>
          <t>2154685</t>
        </is>
      </c>
      <c r="C23" t="inlineStr">
        <is>
          <t>[CR] [2154685] [BMD] Upgrade fund certificate trading feature on Mobile app</t>
        </is>
      </c>
      <c r="D23" t="inlineStr">
        <is>
          <t>CR</t>
        </is>
      </c>
      <c r="E23" t="inlineStr">
        <is>
          <t>BMD</t>
        </is>
      </c>
      <c r="F23" t="inlineStr">
        <is>
          <t>Task</t>
        </is>
      </c>
      <c r="G23" t="inlineStr">
        <is>
          <t>0</t>
        </is>
      </c>
      <c r="H23" t="inlineStr">
        <is>
          <t>https://dev-ftl-jira.phs.vn/browse/FCD-11</t>
        </is>
      </c>
      <c r="I23" t="inlineStr">
        <is>
          <t>BMD</t>
        </is>
      </c>
      <c r="J23" s="27" t="n">
        <v>46126.38541666666</v>
      </c>
      <c r="K23" s="27" t="n">
        <v>46062</v>
      </c>
      <c r="L23" s="27" t="n">
        <v>46140.99930555555</v>
      </c>
      <c r="M23" s="27" t="n">
        <v>46147.60833333333</v>
      </c>
      <c r="N23" s="27" t="n">
        <v>45972</v>
      </c>
      <c r="O23" s="27" t="n">
        <v>46049</v>
      </c>
      <c r="Q23" t="inlineStr"/>
      <c r="R23" t="inlineStr"/>
      <c r="S23" t="inlineStr"/>
    </row>
    <row r="24">
      <c r="A24" t="inlineStr">
        <is>
          <t>9956496</t>
        </is>
      </c>
      <c r="B24" t="inlineStr">
        <is>
          <t>2385402</t>
        </is>
      </c>
      <c r="C24" t="inlineStr">
        <is>
          <t>[CR] [2385402] [MKT] Create popup on web phs.vn to promote for landing page PHS 20 Years Anniversary</t>
        </is>
      </c>
      <c r="D24" t="inlineStr">
        <is>
          <t>CR</t>
        </is>
      </c>
      <c r="E24" t="inlineStr">
        <is>
          <t>MKT</t>
        </is>
      </c>
      <c r="F24" t="inlineStr">
        <is>
          <t>Task</t>
        </is>
      </c>
      <c r="G24" t="inlineStr">
        <is>
          <t>0</t>
        </is>
      </c>
      <c r="H24" t="inlineStr">
        <is>
          <t>https://dev-ftl-jira.phs.vn/browse/PP-36</t>
        </is>
      </c>
      <c r="I24" t="inlineStr">
        <is>
          <t>MKT</t>
        </is>
      </c>
      <c r="J24" s="27" t="n">
        <v>46126.38541666666</v>
      </c>
      <c r="M24" s="27" t="n">
        <v>46137.38680555556</v>
      </c>
      <c r="N24" s="27" t="n">
        <v>46108</v>
      </c>
      <c r="O24" s="27" t="n">
        <v>46118</v>
      </c>
      <c r="Q24" t="inlineStr"/>
      <c r="R24" t="inlineStr"/>
      <c r="S24" t="inlineStr"/>
    </row>
    <row r="25">
      <c r="A25" t="inlineStr">
        <is>
          <t>9956499</t>
        </is>
      </c>
      <c r="B25" t="inlineStr">
        <is>
          <t>2197982</t>
        </is>
      </c>
      <c r="C25" t="inlineStr">
        <is>
          <t>[CR] [2197982] [RS] Research Landing Page: All Features &amp; Phase 1 Execution</t>
        </is>
      </c>
      <c r="D25" t="inlineStr">
        <is>
          <t>CR</t>
        </is>
      </c>
      <c r="E25" t="inlineStr">
        <is>
          <t>RS</t>
        </is>
      </c>
      <c r="F25" t="inlineStr">
        <is>
          <t>Task</t>
        </is>
      </c>
      <c r="G25" t="inlineStr">
        <is>
          <t>0</t>
        </is>
      </c>
      <c r="H25" t="inlineStr">
        <is>
          <t>https://dev-ftl-jira.phs.vn/browse/RSG-1</t>
        </is>
      </c>
      <c r="I25" t="inlineStr">
        <is>
          <t>RS</t>
        </is>
      </c>
      <c r="J25" s="27" t="n">
        <v>46126.38611111111</v>
      </c>
      <c r="K25" s="27" t="n">
        <v>46090</v>
      </c>
      <c r="M25" s="27" t="n">
        <v>46132.35277777778</v>
      </c>
      <c r="N25" s="27" t="n">
        <v>45993</v>
      </c>
      <c r="O25" s="27" t="n">
        <v>46076</v>
      </c>
      <c r="Q25" t="inlineStr"/>
      <c r="R25" t="inlineStr"/>
      <c r="S25" t="inlineStr"/>
    </row>
    <row r="26">
      <c r="A26" t="inlineStr">
        <is>
          <t>10334131</t>
        </is>
      </c>
      <c r="B26" t="inlineStr">
        <is>
          <t>2506884</t>
        </is>
      </c>
      <c r="C26" t="inlineStr">
        <is>
          <t>[CR] [2506884] [LG] Touchpoint for products</t>
        </is>
      </c>
      <c r="D26" t="inlineStr">
        <is>
          <t>CR</t>
        </is>
      </c>
      <c r="E26" t="inlineStr">
        <is>
          <t>LG</t>
        </is>
      </c>
      <c r="F26" t="inlineStr">
        <is>
          <t>Task</t>
        </is>
      </c>
      <c r="G26" t="inlineStr">
        <is>
          <t>0</t>
        </is>
      </c>
      <c r="H26" t="inlineStr">
        <is>
          <t>https://dev-ftl-jira.phs.vn/browse/MEA-1438</t>
        </is>
      </c>
      <c r="I26" t="inlineStr">
        <is>
          <t>LG</t>
        </is>
      </c>
      <c r="J26" s="27" t="n">
        <v>46204.39930555555</v>
      </c>
      <c r="N26" s="27" t="n">
        <v>46203</v>
      </c>
      <c r="Q26" t="inlineStr"/>
      <c r="R26" t="inlineStr"/>
      <c r="S26" t="inlineStr"/>
    </row>
    <row r="27">
      <c r="A27" t="inlineStr">
        <is>
          <t>10334133</t>
        </is>
      </c>
      <c r="B27" t="inlineStr">
        <is>
          <t>2526008</t>
        </is>
      </c>
      <c r="C27" t="inlineStr">
        <is>
          <t>[CR] [2526008] [LG] Goal-based tool phase 2 and Touchpoint for tool</t>
        </is>
      </c>
      <c r="D27" t="inlineStr">
        <is>
          <t>CR</t>
        </is>
      </c>
      <c r="E27" t="inlineStr">
        <is>
          <t>LG</t>
        </is>
      </c>
      <c r="F27" t="inlineStr">
        <is>
          <t>Task</t>
        </is>
      </c>
      <c r="G27" t="inlineStr">
        <is>
          <t>0</t>
        </is>
      </c>
      <c r="H27" t="inlineStr">
        <is>
          <t>https://dev-ftl-jira.phs.vn/browse/MEA-1463</t>
        </is>
      </c>
      <c r="I27" t="inlineStr">
        <is>
          <t>LG</t>
        </is>
      </c>
      <c r="J27" s="27" t="n">
        <v>46204.39930555555</v>
      </c>
      <c r="N27" s="27" t="n">
        <v>46203</v>
      </c>
      <c r="Q27" t="inlineStr"/>
      <c r="R27" t="inlineStr"/>
      <c r="S27" t="inlineStr"/>
    </row>
    <row r="28">
      <c r="A28" t="inlineStr">
        <is>
          <t>10209339</t>
        </is>
      </c>
      <c r="B28" t="inlineStr">
        <is>
          <t>2482578</t>
        </is>
      </c>
      <c r="C28" t="inlineStr">
        <is>
          <t>[CR] [2482578] [AC] Upgrade the QR Code Deposit Function on the PHS App</t>
        </is>
      </c>
      <c r="D28" t="inlineStr">
        <is>
          <t>CR</t>
        </is>
      </c>
      <c r="E28" t="inlineStr">
        <is>
          <t>AC</t>
        </is>
      </c>
      <c r="F28" t="inlineStr">
        <is>
          <t>Task</t>
        </is>
      </c>
      <c r="G28" t="inlineStr">
        <is>
          <t>0</t>
        </is>
      </c>
      <c r="H28" t="inlineStr">
        <is>
          <t>https://dev-ftl-jira.phs.vn/browse/MEA-1388</t>
        </is>
      </c>
      <c r="I28" t="inlineStr">
        <is>
          <t>ACC</t>
        </is>
      </c>
      <c r="J28" s="27" t="n">
        <v>46178.40902777778</v>
      </c>
      <c r="N28" s="27" t="n">
        <v>46174</v>
      </c>
      <c r="P28" s="27" t="n">
        <v>46204</v>
      </c>
      <c r="Q28" t="inlineStr"/>
      <c r="R28" t="inlineStr">
        <is>
          <t>Backlog</t>
        </is>
      </c>
      <c r="S28" t="inlineStr">
        <is>
          <t>No</t>
        </is>
      </c>
    </row>
    <row r="29">
      <c r="A29" t="inlineStr">
        <is>
          <t>10334127</t>
        </is>
      </c>
      <c r="B29" t="inlineStr">
        <is>
          <t>2216483</t>
        </is>
      </c>
      <c r="C29" t="inlineStr">
        <is>
          <t>[CR] [2216483] [MSD] Loyalty system on mobile app (phase 2)</t>
        </is>
      </c>
      <c r="D29" t="inlineStr">
        <is>
          <t>CR</t>
        </is>
      </c>
      <c r="E29" t="inlineStr">
        <is>
          <t>MSD</t>
        </is>
      </c>
      <c r="F29" t="inlineStr">
        <is>
          <t>Task</t>
        </is>
      </c>
      <c r="G29" t="inlineStr">
        <is>
          <t>0</t>
        </is>
      </c>
      <c r="H29" t="inlineStr">
        <is>
          <t>https://dev-ftl-jira.phs.vn/browse/MEA-1488</t>
        </is>
      </c>
      <c r="I29" t="inlineStr">
        <is>
          <t>SS</t>
        </is>
      </c>
      <c r="J29" s="27" t="n">
        <v>46204.39861111111</v>
      </c>
      <c r="N29" s="27" t="n">
        <v>46022</v>
      </c>
      <c r="Q29" t="inlineStr"/>
      <c r="R29" t="inlineStr"/>
      <c r="S29" t="inlineStr"/>
    </row>
    <row r="30">
      <c r="A30" t="inlineStr">
        <is>
          <t>10334124</t>
        </is>
      </c>
      <c r="B30" t="inlineStr">
        <is>
          <t>2540233</t>
        </is>
      </c>
      <c r="C30" t="inlineStr">
        <is>
          <t>[CR] [2540233] [MSD] FIFA WORLD CUP CHALLENGE 2026</t>
        </is>
      </c>
      <c r="D30" t="inlineStr">
        <is>
          <t>CR</t>
        </is>
      </c>
      <c r="E30" t="inlineStr">
        <is>
          <t>MSD</t>
        </is>
      </c>
      <c r="F30" t="inlineStr">
        <is>
          <t>Task</t>
        </is>
      </c>
      <c r="G30" t="inlineStr">
        <is>
          <t>0</t>
        </is>
      </c>
      <c r="H30" t="inlineStr">
        <is>
          <t>https://dev-ftl-jira.phs.vn/browse/MEA-1263</t>
        </is>
      </c>
      <c r="I30" t="inlineStr">
        <is>
          <t>SS</t>
        </is>
      </c>
      <c r="J30" s="27" t="n">
        <v>46204.39791666667</v>
      </c>
      <c r="N30" s="27" t="n">
        <v>46203</v>
      </c>
      <c r="Q30" t="inlineStr"/>
      <c r="R30" t="inlineStr"/>
      <c r="S30" t="inlineStr"/>
    </row>
    <row r="31">
      <c r="A31" t="inlineStr">
        <is>
          <t>10209283</t>
        </is>
      </c>
      <c r="B31" t="inlineStr">
        <is>
          <t>2415056</t>
        </is>
      </c>
      <c r="C31" t="inlineStr">
        <is>
          <t>[CR] [2415056] [MKT] Implementation of “Partner Offers” on PHS Mobile App</t>
        </is>
      </c>
      <c r="D31" t="inlineStr">
        <is>
          <t>CR</t>
        </is>
      </c>
      <c r="E31" t="inlineStr">
        <is>
          <t>MKT</t>
        </is>
      </c>
      <c r="F31" t="inlineStr">
        <is>
          <t>Task</t>
        </is>
      </c>
      <c r="G31" t="inlineStr">
        <is>
          <t>0</t>
        </is>
      </c>
      <c r="H31" t="inlineStr">
        <is>
          <t>https://dev-ftl-jira.phs.vn/browse/MEA-1363</t>
        </is>
      </c>
      <c r="I31" t="inlineStr">
        <is>
          <t>MKT</t>
        </is>
      </c>
      <c r="J31" s="27" t="n">
        <v>46178.40763888889</v>
      </c>
      <c r="N31" s="27" t="n">
        <v>46128</v>
      </c>
      <c r="P31" s="27" t="n">
        <v>46204</v>
      </c>
      <c r="Q31" t="inlineStr"/>
      <c r="R31" t="inlineStr">
        <is>
          <t>Backlog</t>
        </is>
      </c>
      <c r="S31" t="inlineStr">
        <is>
          <t>No</t>
        </is>
      </c>
    </row>
    <row r="32">
      <c r="A32" t="inlineStr">
        <is>
          <t>10334126</t>
        </is>
      </c>
      <c r="B32" t="inlineStr">
        <is>
          <t>2310394</t>
        </is>
      </c>
      <c r="C32" t="inlineStr">
        <is>
          <t>[CR] [2310394] [AC] Tax analysis and estimation tools for investors (phase 2)</t>
        </is>
      </c>
      <c r="D32" t="inlineStr">
        <is>
          <t>CR</t>
        </is>
      </c>
      <c r="E32" t="inlineStr">
        <is>
          <t>AC</t>
        </is>
      </c>
      <c r="F32" t="inlineStr">
        <is>
          <t>Task</t>
        </is>
      </c>
      <c r="G32" t="inlineStr">
        <is>
          <t>0</t>
        </is>
      </c>
      <c r="H32" t="inlineStr">
        <is>
          <t>https://dev-ftl-jira.phs.vn/browse/MEA-1288</t>
        </is>
      </c>
      <c r="I32" t="inlineStr">
        <is>
          <t>ACC</t>
        </is>
      </c>
      <c r="J32" s="27" t="n">
        <v>46204.39791666667</v>
      </c>
      <c r="N32" s="27" t="n">
        <v>46107</v>
      </c>
      <c r="Q32" t="inlineStr"/>
      <c r="R32" t="inlineStr"/>
      <c r="S32" t="inlineStr"/>
    </row>
    <row r="33">
      <c r="A33" t="inlineStr">
        <is>
          <t>10209368</t>
        </is>
      </c>
      <c r="B33" t="inlineStr">
        <is>
          <t>2291957</t>
        </is>
      </c>
      <c r="C33" t="inlineStr">
        <is>
          <t>[CR] [2291957] [IC] Update the account opening function on the PHS Elite app login screen</t>
        </is>
      </c>
      <c r="D33" t="inlineStr">
        <is>
          <t>CR</t>
        </is>
      </c>
      <c r="E33" t="inlineStr">
        <is>
          <t>IC</t>
        </is>
      </c>
      <c r="F33" t="inlineStr">
        <is>
          <t>Task</t>
        </is>
      </c>
      <c r="G33" t="inlineStr">
        <is>
          <t>0</t>
        </is>
      </c>
      <c r="H33" t="inlineStr">
        <is>
          <t>https://dev-ftl-jira.phs.vn/browse/MEA-1338</t>
        </is>
      </c>
      <c r="I33" t="inlineStr">
        <is>
          <t>IC</t>
        </is>
      </c>
      <c r="J33" s="27" t="n">
        <v>46178.4125</v>
      </c>
      <c r="N33" s="27" t="n">
        <v>46129</v>
      </c>
      <c r="P33" s="27" t="n">
        <v>46204</v>
      </c>
      <c r="Q33" t="inlineStr"/>
      <c r="R33" t="inlineStr">
        <is>
          <t>Đúng tiến độ</t>
        </is>
      </c>
      <c r="S33" t="inlineStr">
        <is>
          <t>Review design</t>
        </is>
      </c>
    </row>
    <row r="34">
      <c r="A34" t="inlineStr">
        <is>
          <t>9953690</t>
        </is>
      </c>
      <c r="B34" t="inlineStr">
        <is>
          <t>2397922</t>
        </is>
      </c>
      <c r="C34" t="inlineStr">
        <is>
          <t>[CR] [2397922] [LG] Enhance filter for Elite Fund</t>
        </is>
      </c>
      <c r="D34" t="inlineStr">
        <is>
          <t>CR</t>
        </is>
      </c>
      <c r="E34" t="inlineStr">
        <is>
          <t>LG</t>
        </is>
      </c>
      <c r="F34" t="inlineStr">
        <is>
          <t>Task</t>
        </is>
      </c>
      <c r="G34" t="inlineStr">
        <is>
          <t>0</t>
        </is>
      </c>
      <c r="H34" t="inlineStr">
        <is>
          <t>https://dev-ftl-jira.phs.vn/browse/MEA-1313</t>
        </is>
      </c>
      <c r="I34" t="inlineStr">
        <is>
          <t>LG</t>
        </is>
      </c>
      <c r="J34" s="27" t="n">
        <v>46125.72291666667</v>
      </c>
      <c r="N34" s="27" t="n">
        <v>46118</v>
      </c>
      <c r="P34" s="27" t="n">
        <v>46204</v>
      </c>
      <c r="Q34" t="inlineStr"/>
      <c r="R34" t="inlineStr">
        <is>
          <t>Đúng tiến độ</t>
        </is>
      </c>
      <c r="S34" t="inlineStr">
        <is>
          <t>Mobile code</t>
        </is>
      </c>
    </row>
    <row r="35">
      <c r="A35" t="inlineStr">
        <is>
          <t>9739425</t>
        </is>
      </c>
      <c r="B35" t="inlineStr">
        <is>
          <t>2317336</t>
        </is>
      </c>
      <c r="C35" t="inlineStr">
        <is>
          <t>[CR] [2317336] [AC] Proposal to implement an automated cash dividend reinvestment service (Auto-DRIP) on PHS Elite app</t>
        </is>
      </c>
      <c r="D35" t="inlineStr">
        <is>
          <t>CR</t>
        </is>
      </c>
      <c r="E35" t="inlineStr">
        <is>
          <t>AC</t>
        </is>
      </c>
      <c r="F35" t="inlineStr">
        <is>
          <t>Task</t>
        </is>
      </c>
      <c r="G35" t="inlineStr">
        <is>
          <t>0</t>
        </is>
      </c>
      <c r="H35" t="inlineStr">
        <is>
          <t>https://dev-ftl-jira.phs.vn/browse/MEA-935</t>
        </is>
      </c>
      <c r="I35" t="inlineStr">
        <is>
          <t>AC</t>
        </is>
      </c>
      <c r="J35" s="27" t="n">
        <v>46084.69444444445</v>
      </c>
      <c r="N35" s="27" t="n">
        <v>46077</v>
      </c>
      <c r="P35" s="27" t="n">
        <v>46204</v>
      </c>
      <c r="Q35" t="inlineStr"/>
      <c r="R35" t="inlineStr">
        <is>
          <t>Đúng tiến độ</t>
        </is>
      </c>
      <c r="S35" t="inlineStr">
        <is>
          <t>Trình CR</t>
        </is>
      </c>
    </row>
    <row r="36">
      <c r="A36" t="inlineStr">
        <is>
          <t>9953664</t>
        </is>
      </c>
      <c r="B36" t="inlineStr">
        <is>
          <t>2330515</t>
        </is>
      </c>
      <c r="C36" t="inlineStr">
        <is>
          <t>[CR] [2330515] [RMD] IPO Share Subscription Feature</t>
        </is>
      </c>
      <c r="D36" t="inlineStr">
        <is>
          <t>CR</t>
        </is>
      </c>
      <c r="E36" t="inlineStr">
        <is>
          <t>RMD</t>
        </is>
      </c>
      <c r="F36" t="inlineStr">
        <is>
          <t>Task</t>
        </is>
      </c>
      <c r="G36" t="inlineStr">
        <is>
          <t>0</t>
        </is>
      </c>
      <c r="H36" t="inlineStr">
        <is>
          <t>https://dev-ftl-jira.phs.vn/browse/MEA-1087</t>
        </is>
      </c>
      <c r="I36" t="inlineStr">
        <is>
          <t>RMD</t>
        </is>
      </c>
      <c r="J36" s="27" t="n">
        <v>46125.71597222222</v>
      </c>
      <c r="N36" s="27" t="n">
        <v>46104</v>
      </c>
      <c r="P36" s="27" t="n">
        <v>46204</v>
      </c>
      <c r="Q36" t="inlineStr"/>
      <c r="R36" t="inlineStr">
        <is>
          <t>Chờ RMD confirm nghiệp vụ</t>
        </is>
      </c>
      <c r="S36" t="inlineStr">
        <is>
          <t>Review design</t>
        </is>
      </c>
    </row>
    <row r="37">
      <c r="A37" t="inlineStr">
        <is>
          <t>10334129</t>
        </is>
      </c>
      <c r="B37" t="inlineStr">
        <is>
          <t>2438262</t>
        </is>
      </c>
      <c r="C37" t="inlineStr">
        <is>
          <t>[CR] [2438262] [LG]_Goal-based Tool</t>
        </is>
      </c>
      <c r="D37" t="inlineStr">
        <is>
          <t>CR</t>
        </is>
      </c>
      <c r="E37" t="inlineStr">
        <is>
          <t>LG</t>
        </is>
      </c>
      <c r="F37" t="inlineStr">
        <is>
          <t>Task</t>
        </is>
      </c>
      <c r="G37" t="inlineStr">
        <is>
          <t>0</t>
        </is>
      </c>
      <c r="H37" t="inlineStr">
        <is>
          <t>https://dev-ftl-jira.phs.vn/browse/MEA-1413</t>
        </is>
      </c>
      <c r="I37" t="inlineStr">
        <is>
          <t>LG</t>
        </is>
      </c>
      <c r="J37" s="27" t="n">
        <v>46204.39861111111</v>
      </c>
      <c r="N37" s="27" t="n">
        <v>46153</v>
      </c>
      <c r="Q37" t="inlineStr"/>
      <c r="R37" t="inlineStr"/>
      <c r="S37" t="inlineStr"/>
    </row>
    <row r="38">
      <c r="A38" t="inlineStr">
        <is>
          <t>9739426</t>
        </is>
      </c>
      <c r="B38" t="inlineStr">
        <is>
          <t>2289280</t>
        </is>
      </c>
      <c r="C38" t="inlineStr">
        <is>
          <t>[CR] [2289280] [FN] Future-Dated Withdrawal Scheduling for Customers</t>
        </is>
      </c>
      <c r="D38" t="inlineStr">
        <is>
          <t>CR</t>
        </is>
      </c>
      <c r="E38" t="inlineStr">
        <is>
          <t>FN</t>
        </is>
      </c>
      <c r="F38" t="inlineStr">
        <is>
          <t>Task</t>
        </is>
      </c>
      <c r="G38" t="inlineStr">
        <is>
          <t>0</t>
        </is>
      </c>
      <c r="H38" t="inlineStr">
        <is>
          <t>https://dev-ftl-jira.phs.vn/browse/MEA-910</t>
        </is>
      </c>
      <c r="I38" t="inlineStr">
        <is>
          <t>FN</t>
        </is>
      </c>
      <c r="J38" s="27" t="n">
        <v>46084.69444444445</v>
      </c>
      <c r="N38" s="27" t="n">
        <v>46052</v>
      </c>
      <c r="P38" s="27" t="n">
        <v>46204</v>
      </c>
      <c r="Q38" t="inlineStr"/>
      <c r="R38" t="inlineStr">
        <is>
          <t>Theo đúng tiến độ</t>
        </is>
      </c>
      <c r="S38" t="inlineStr">
        <is>
          <t>MW code</t>
        </is>
      </c>
    </row>
    <row r="39">
      <c r="A39" t="inlineStr">
        <is>
          <t>9953685</t>
        </is>
      </c>
      <c r="B39" t="inlineStr">
        <is>
          <t>2307583</t>
        </is>
      </c>
      <c r="C39" t="inlineStr">
        <is>
          <t>[CR] [2307583] [LG] PHS BondTerm – Fixed-Tenor Bond Investment Package (via Listed Bonds</t>
        </is>
      </c>
      <c r="D39" t="inlineStr">
        <is>
          <t>CR</t>
        </is>
      </c>
      <c r="E39" t="inlineStr">
        <is>
          <t>LG</t>
        </is>
      </c>
      <c r="F39" t="inlineStr">
        <is>
          <t>Task</t>
        </is>
      </c>
      <c r="G39" t="inlineStr">
        <is>
          <t>0</t>
        </is>
      </c>
      <c r="H39" t="inlineStr">
        <is>
          <t>https://dev-ftl-jira.phs.vn/browse/MEA-1137</t>
        </is>
      </c>
      <c r="I39" t="inlineStr">
        <is>
          <t>LG</t>
        </is>
      </c>
      <c r="J39" s="27" t="n">
        <v>46125.72083333333</v>
      </c>
      <c r="N39" s="27" t="n">
        <v>46097</v>
      </c>
      <c r="P39" s="27" t="n">
        <v>46204</v>
      </c>
      <c r="Q39" t="inlineStr"/>
      <c r="R39" t="inlineStr">
        <is>
          <t>Đang thiết kế tổng thể lại cho FE, BE</t>
        </is>
      </c>
      <c r="S39" t="inlineStr">
        <is>
          <t>No</t>
        </is>
      </c>
    </row>
    <row r="40">
      <c r="A40" t="inlineStr">
        <is>
          <t>9953687</t>
        </is>
      </c>
      <c r="B40" t="inlineStr">
        <is>
          <t>2376660</t>
        </is>
      </c>
      <c r="C40" t="inlineStr">
        <is>
          <t>[CR] [2376660] [CCC] Assessment of Requirements from RAR Center for the VNeID Integration into the eKYC Account Opening Process Project</t>
        </is>
      </c>
      <c r="D40" t="inlineStr">
        <is>
          <t>CR</t>
        </is>
      </c>
      <c r="E40" t="inlineStr">
        <is>
          <t>CCC</t>
        </is>
      </c>
      <c r="F40" t="inlineStr">
        <is>
          <t>Task</t>
        </is>
      </c>
      <c r="G40" t="inlineStr">
        <is>
          <t>0</t>
        </is>
      </c>
      <c r="H40" t="inlineStr">
        <is>
          <t>https://dev-ftl-jira.phs.vn/browse/MEA-1162</t>
        </is>
      </c>
      <c r="I40" t="inlineStr">
        <is>
          <t>SS</t>
        </is>
      </c>
      <c r="J40" s="27" t="n">
        <v>46125.72222222222</v>
      </c>
      <c r="N40" s="27" t="n">
        <v>46108</v>
      </c>
      <c r="P40" s="27" t="n">
        <v>46204</v>
      </c>
      <c r="Q40" t="inlineStr"/>
      <c r="R40" t="inlineStr">
        <is>
          <t>Không có thông tin về action tiếp theo</t>
        </is>
      </c>
      <c r="S40" t="inlineStr">
        <is>
          <t>No</t>
        </is>
      </c>
    </row>
    <row r="41">
      <c r="A41" t="inlineStr">
        <is>
          <t>9739412</t>
        </is>
      </c>
      <c r="B41" t="inlineStr">
        <is>
          <t>2174942</t>
        </is>
      </c>
      <c r="C41" t="inlineStr">
        <is>
          <t>[CR] [2174942] [MSD] Automation Test Proposal</t>
        </is>
      </c>
      <c r="D41" t="inlineStr">
        <is>
          <t>CR</t>
        </is>
      </c>
      <c r="E41" t="inlineStr">
        <is>
          <t>MSD</t>
        </is>
      </c>
      <c r="F41" t="inlineStr">
        <is>
          <t>Task</t>
        </is>
      </c>
      <c r="G41" t="inlineStr">
        <is>
          <t>0</t>
        </is>
      </c>
      <c r="H41" t="inlineStr">
        <is>
          <t>https://dev-ftl-jira.phs.vn/browse/MEA-960</t>
        </is>
      </c>
      <c r="I41" t="inlineStr">
        <is>
          <t>SS</t>
        </is>
      </c>
      <c r="J41" s="27" t="n">
        <v>46084.69375</v>
      </c>
      <c r="N41" s="27" t="n">
        <v>46047</v>
      </c>
      <c r="P41" s="27" t="n">
        <v>46204</v>
      </c>
      <c r="Q41" t="inlineStr"/>
      <c r="R41" t="inlineStr">
        <is>
          <t>Pending</t>
        </is>
      </c>
      <c r="S41" t="inlineStr">
        <is>
          <t>No</t>
        </is>
      </c>
    </row>
    <row r="42">
      <c r="A42" t="inlineStr">
        <is>
          <t>10217565</t>
        </is>
      </c>
      <c r="B42" t="inlineStr">
        <is>
          <t>2340654</t>
        </is>
      </c>
      <c r="C42" t="inlineStr">
        <is>
          <t>[CR] [2340654] [FN] [No.02-2026] Updated payment order form of IVB</t>
        </is>
      </c>
      <c r="D42" t="inlineStr">
        <is>
          <t>CR</t>
        </is>
      </c>
      <c r="E42" t="inlineStr">
        <is>
          <t>FN</t>
        </is>
      </c>
      <c r="F42" t="inlineStr">
        <is>
          <t>Task</t>
        </is>
      </c>
      <c r="G42" t="inlineStr">
        <is>
          <t>0</t>
        </is>
      </c>
      <c r="H42" t="inlineStr"/>
      <c r="I42" t="inlineStr">
        <is>
          <t>FN</t>
        </is>
      </c>
      <c r="J42" s="27" t="n">
        <v>46179.6625</v>
      </c>
      <c r="M42" s="27" t="n">
        <v>46179.66388888889</v>
      </c>
      <c r="N42" s="27" t="n">
        <v>46083</v>
      </c>
      <c r="Q42" t="inlineStr"/>
      <c r="R42" t="inlineStr"/>
      <c r="S42" t="inlineStr"/>
    </row>
    <row r="43">
      <c r="A43" t="inlineStr">
        <is>
          <t>10090312</t>
        </is>
      </c>
      <c r="B43" t="inlineStr">
        <is>
          <t>2310394</t>
        </is>
      </c>
      <c r="C43" t="inlineStr">
        <is>
          <t>[CR] [2310394 - 2391899] [KT] [No.01-2026] Tax analysis and estimation tools for investors.</t>
        </is>
      </c>
      <c r="D43" t="inlineStr">
        <is>
          <t>CR</t>
        </is>
      </c>
      <c r="E43" t="inlineStr">
        <is>
          <t>KT</t>
        </is>
      </c>
      <c r="F43" t="inlineStr">
        <is>
          <t>Task</t>
        </is>
      </c>
      <c r="G43" t="inlineStr">
        <is>
          <t>0</t>
        </is>
      </c>
      <c r="H43" t="inlineStr"/>
      <c r="I43" t="inlineStr">
        <is>
          <t>ACC</t>
        </is>
      </c>
      <c r="J43" s="27" t="n">
        <v>46154.37708333333</v>
      </c>
      <c r="M43" s="27" t="n">
        <v>46205.70138888889</v>
      </c>
      <c r="N43" s="27" t="n">
        <v>46107</v>
      </c>
      <c r="Q43" t="inlineStr"/>
      <c r="R43" t="inlineStr"/>
      <c r="S43" t="inlineStr"/>
    </row>
    <row r="44">
      <c r="A44" t="inlineStr">
        <is>
          <t>10090329</t>
        </is>
      </c>
      <c r="B44" t="inlineStr">
        <is>
          <t>2446191</t>
        </is>
      </c>
      <c r="C44" t="inlineStr">
        <is>
          <t>[CR] [2446191] [MSD] [No.08-2026] VCF0051 – Adjust Report Extraction Conditions</t>
        </is>
      </c>
      <c r="D44" t="inlineStr">
        <is>
          <t>CR</t>
        </is>
      </c>
      <c r="E44" t="inlineStr">
        <is>
          <t>MSD</t>
        </is>
      </c>
      <c r="F44" t="inlineStr">
        <is>
          <t>Task</t>
        </is>
      </c>
      <c r="G44" t="inlineStr">
        <is>
          <t>0</t>
        </is>
      </c>
      <c r="H44" t="inlineStr">
        <is>
          <t>https://dev-ftl-jira.phs.vn/browse/PPM-249</t>
        </is>
      </c>
      <c r="I44" t="inlineStr">
        <is>
          <t>SS</t>
        </is>
      </c>
      <c r="J44" s="27" t="n">
        <v>46154.38125</v>
      </c>
      <c r="M44" s="27" t="n">
        <v>46189.43402777778</v>
      </c>
      <c r="N44" s="27" t="n">
        <v>46149</v>
      </c>
      <c r="O44" s="27" t="n">
        <v>46164</v>
      </c>
      <c r="Q44" t="inlineStr"/>
      <c r="R44" t="inlineStr"/>
      <c r="S44" t="inlineStr"/>
    </row>
    <row r="45">
      <c r="A45" t="inlineStr">
        <is>
          <t>10090302</t>
        </is>
      </c>
      <c r="B45" t="inlineStr">
        <is>
          <t>2222464</t>
        </is>
      </c>
      <c r="C45" t="inlineStr">
        <is>
          <t>[CR] [2222464] [RMD] [No.09-2025] Add sign-in method</t>
        </is>
      </c>
      <c r="D45" t="inlineStr">
        <is>
          <t>CR</t>
        </is>
      </c>
      <c r="E45" t="inlineStr">
        <is>
          <t>RMD</t>
        </is>
      </c>
      <c r="F45" t="inlineStr">
        <is>
          <t>Task</t>
        </is>
      </c>
      <c r="G45" t="inlineStr">
        <is>
          <t>0</t>
        </is>
      </c>
      <c r="H45" t="inlineStr">
        <is>
          <t>https://dev-ftl-jira.phs.vn/browse/PPM-137</t>
        </is>
      </c>
      <c r="I45" t="inlineStr">
        <is>
          <t>RMD</t>
        </is>
      </c>
      <c r="J45" s="27" t="n">
        <v>46154.375</v>
      </c>
      <c r="M45" s="27" t="n">
        <v>46155.43541666667</v>
      </c>
      <c r="N45" s="27" t="n">
        <v>46003</v>
      </c>
      <c r="Q45" t="inlineStr"/>
      <c r="R45" t="inlineStr"/>
      <c r="S45" t="inlineStr"/>
    </row>
    <row r="46">
      <c r="A46" t="inlineStr">
        <is>
          <t>10090343</t>
        </is>
      </c>
      <c r="B46" t="inlineStr">
        <is>
          <t>2443571</t>
        </is>
      </c>
      <c r="C46" t="inlineStr">
        <is>
          <t>[CR] [2443571] [SS] [No.09-2026] Restrict using PHS email address for securities transactions</t>
        </is>
      </c>
      <c r="D46" t="inlineStr">
        <is>
          <t>CR</t>
        </is>
      </c>
      <c r="E46" t="inlineStr">
        <is>
          <t>SS</t>
        </is>
      </c>
      <c r="F46" t="inlineStr">
        <is>
          <t>Task</t>
        </is>
      </c>
      <c r="G46" t="inlineStr">
        <is>
          <t>0</t>
        </is>
      </c>
      <c r="H46" t="inlineStr"/>
      <c r="I46" t="inlineStr">
        <is>
          <t>SS</t>
        </is>
      </c>
      <c r="J46" s="27" t="n">
        <v>46154.38472222222</v>
      </c>
      <c r="M46" s="27" t="n">
        <v>46178.4625</v>
      </c>
      <c r="N46" s="27" t="n">
        <v>46148</v>
      </c>
      <c r="Q46" t="inlineStr"/>
      <c r="R46" t="inlineStr"/>
      <c r="S46" t="inlineStr"/>
    </row>
    <row r="47">
      <c r="A47" t="inlineStr">
        <is>
          <t>10090240</t>
        </is>
      </c>
      <c r="B47" t="inlineStr">
        <is>
          <t>2133352</t>
        </is>
      </c>
      <c r="C47" t="inlineStr">
        <is>
          <t>[CR] [2133352] [RMD] [No.12-2025] Margin product calculation tool</t>
        </is>
      </c>
      <c r="D47" t="inlineStr">
        <is>
          <t>CR</t>
        </is>
      </c>
      <c r="E47" t="inlineStr">
        <is>
          <t>RMD</t>
        </is>
      </c>
      <c r="F47" t="inlineStr">
        <is>
          <t>Task</t>
        </is>
      </c>
      <c r="G47" t="inlineStr">
        <is>
          <t>0</t>
        </is>
      </c>
      <c r="H47" t="inlineStr">
        <is>
          <t>https://dev-ftl-jira.phs.vn/browse/PPM-9</t>
        </is>
      </c>
      <c r="I47" t="inlineStr">
        <is>
          <t>RMD</t>
        </is>
      </c>
      <c r="J47" s="27" t="n">
        <v>46154.36319444444</v>
      </c>
      <c r="M47" s="27" t="n">
        <v>46157.43888888889</v>
      </c>
      <c r="N47" s="27" t="n">
        <v>45952</v>
      </c>
      <c r="Q47" t="inlineStr"/>
      <c r="R47" t="inlineStr"/>
      <c r="S47" t="inlineStr"/>
    </row>
    <row r="48">
      <c r="A48" t="inlineStr">
        <is>
          <t>10090247</t>
        </is>
      </c>
      <c r="B48" t="inlineStr">
        <is>
          <t>2246969</t>
        </is>
      </c>
      <c r="C48" t="inlineStr">
        <is>
          <t>[CR] [2246969] [DTD] [No.39-2025] Add PCA trading stock labels and implement stock filtering features on the PHS Elite app</t>
        </is>
      </c>
      <c r="D48" t="inlineStr">
        <is>
          <t>CR</t>
        </is>
      </c>
      <c r="E48" t="inlineStr">
        <is>
          <t>DTD</t>
        </is>
      </c>
      <c r="F48" t="inlineStr">
        <is>
          <t>Task</t>
        </is>
      </c>
      <c r="G48" t="inlineStr">
        <is>
          <t>0</t>
        </is>
      </c>
      <c r="H48" t="inlineStr">
        <is>
          <t>https://dev-ftl-jira.phs.vn/browse/PPM-10</t>
        </is>
      </c>
      <c r="I48" t="inlineStr">
        <is>
          <t>DTD</t>
        </is>
      </c>
      <c r="J48" s="27" t="n">
        <v>46154.36458333334</v>
      </c>
      <c r="M48" s="27" t="n">
        <v>46157.43888888889</v>
      </c>
      <c r="N48" s="27" t="n">
        <v>46021</v>
      </c>
      <c r="Q48" t="inlineStr"/>
      <c r="R48" t="inlineStr"/>
      <c r="S48" t="inlineStr"/>
    </row>
    <row r="49">
      <c r="A49" t="inlineStr">
        <is>
          <t>10090293</t>
        </is>
      </c>
      <c r="B49" t="inlineStr">
        <is>
          <t>2275303</t>
        </is>
      </c>
      <c r="C49" t="inlineStr">
        <is>
          <t>[CR] [2275303] [DTD] [No.1-2026] Enhance securities depository features via the PHS Elite Trading application</t>
        </is>
      </c>
      <c r="D49" t="inlineStr">
        <is>
          <t>CR</t>
        </is>
      </c>
      <c r="E49" t="inlineStr">
        <is>
          <t>DTD</t>
        </is>
      </c>
      <c r="F49" t="inlineStr">
        <is>
          <t>Task</t>
        </is>
      </c>
      <c r="G49" t="inlineStr">
        <is>
          <t>0</t>
        </is>
      </c>
      <c r="H49" t="inlineStr">
        <is>
          <t>https://dev-ftl-jira.phs.vn/browse/PPM-12</t>
        </is>
      </c>
      <c r="I49" t="inlineStr">
        <is>
          <t>SS</t>
        </is>
      </c>
      <c r="J49" s="27" t="n">
        <v>46154.37291666667</v>
      </c>
      <c r="M49" s="27" t="n">
        <v>46205.70069444444</v>
      </c>
      <c r="N49" s="27" t="n">
        <v>46049</v>
      </c>
      <c r="Q49" t="inlineStr"/>
      <c r="R49" t="inlineStr"/>
      <c r="S49" t="inlineStr"/>
    </row>
    <row r="50">
      <c r="A50" t="inlineStr">
        <is>
          <t>10090287</t>
        </is>
      </c>
      <c r="B50" t="inlineStr">
        <is>
          <t>2216483</t>
        </is>
      </c>
      <c r="C50" t="inlineStr">
        <is>
          <t>[CR] [2216483] [MSD] [No.33-2025] Loyalty Customer System (Core Flex)</t>
        </is>
      </c>
      <c r="D50" t="inlineStr">
        <is>
          <t>CR</t>
        </is>
      </c>
      <c r="E50" t="inlineStr">
        <is>
          <t>MSD</t>
        </is>
      </c>
      <c r="F50" t="inlineStr">
        <is>
          <t>Task</t>
        </is>
      </c>
      <c r="G50" t="inlineStr">
        <is>
          <t>0</t>
        </is>
      </c>
      <c r="H50" t="inlineStr">
        <is>
          <t>https://dev-ftl-jira.phs.vn/projects/PPM/issues/PPM-230</t>
        </is>
      </c>
      <c r="I50" t="inlineStr">
        <is>
          <t>MSD</t>
        </is>
      </c>
      <c r="J50" s="27" t="n">
        <v>46154.37152777778</v>
      </c>
      <c r="M50" s="27" t="n">
        <v>46206.36527777778</v>
      </c>
      <c r="N50" s="27" t="n">
        <v>46022</v>
      </c>
      <c r="P50" s="27" t="n">
        <v>46206</v>
      </c>
      <c r="Q50" t="inlineStr"/>
      <c r="R50" t="inlineStr">
        <is>
          <t>đã golive Flex trước, xong phase 1</t>
        </is>
      </c>
      <c r="S50" t="inlineStr">
        <is>
          <t>Đợi team B dựng base</t>
        </is>
      </c>
    </row>
    <row r="51">
      <c r="A51" t="inlineStr">
        <is>
          <t>10090263</t>
        </is>
      </c>
      <c r="B51" t="inlineStr">
        <is>
          <t>2238356</t>
        </is>
      </c>
      <c r="C51" t="inlineStr">
        <is>
          <t>[CR] [2238356] [MSD] [No.27-2025]ADVANCE MARGIN FOR DERIVATIVES</t>
        </is>
      </c>
      <c r="D51" t="inlineStr">
        <is>
          <t>CR</t>
        </is>
      </c>
      <c r="E51" t="inlineStr">
        <is>
          <t>MSD</t>
        </is>
      </c>
      <c r="F51" t="inlineStr">
        <is>
          <t>Task</t>
        </is>
      </c>
      <c r="G51" t="inlineStr">
        <is>
          <t>0</t>
        </is>
      </c>
      <c r="H51" t="inlineStr">
        <is>
          <t>https://dev-ftl-jira.phs.vn/browse/PPM-11</t>
        </is>
      </c>
      <c r="I51" t="inlineStr">
        <is>
          <t>MSD</t>
        </is>
      </c>
      <c r="J51" s="27" t="n">
        <v>46154.36944444444</v>
      </c>
      <c r="N51" s="27" t="n">
        <v>46017</v>
      </c>
      <c r="P51" s="27" t="n">
        <v>46206</v>
      </c>
      <c r="Q51" t="inlineStr"/>
      <c r="R51" t="inlineStr">
        <is>
          <t>Công thức mới, đợi SS và RMD bàn giao công thức (06/07/2026)</t>
        </is>
      </c>
      <c r="S51" t="inlineStr">
        <is>
          <t>No action</t>
        </is>
      </c>
    </row>
    <row r="52">
      <c r="A52" t="inlineStr">
        <is>
          <t>10090209</t>
        </is>
      </c>
      <c r="B52" t="inlineStr">
        <is>
          <t>2084592</t>
        </is>
      </c>
      <c r="C52" t="inlineStr">
        <is>
          <t>[CR] [2084592] [RMD] [No.10-2025] Calculate interest for accounts using special interest rate products</t>
        </is>
      </c>
      <c r="D52" t="inlineStr">
        <is>
          <t>CR</t>
        </is>
      </c>
      <c r="E52" t="inlineStr">
        <is>
          <t>RMD</t>
        </is>
      </c>
      <c r="F52" t="inlineStr">
        <is>
          <t>Task</t>
        </is>
      </c>
      <c r="G52" t="inlineStr">
        <is>
          <t>0</t>
        </is>
      </c>
      <c r="H52" t="inlineStr">
        <is>
          <t>https://dev-ftl-jira.phs.vn/browse/PPM-6</t>
        </is>
      </c>
      <c r="I52" t="inlineStr">
        <is>
          <t>RMD</t>
        </is>
      </c>
      <c r="J52" s="27" t="n">
        <v>46154.35625</v>
      </c>
      <c r="N52" s="27" t="n">
        <v>45934</v>
      </c>
      <c r="P52" s="27" t="n">
        <v>46206</v>
      </c>
      <c r="Q52" t="inlineStr"/>
      <c r="R52" t="inlineStr">
        <is>
          <t>Đang không tự động chuyển loại hình được, Core đang xử lý cho CR này bằng cách replace lại loại hình hiện tại.
Nghiệp vụ mong muốn phải có loại hình mới rồi chuyển sang.
Nghiệp vụ nói nếu không có phần này CR sẽ không golive được.
CR đang cần nghiệp vụ(RMD) và core trao đổi lại để chốt phương án.</t>
        </is>
      </c>
      <c r="S52" t="inlineStr">
        <is>
          <t>Push RMD chốt phương án</t>
        </is>
      </c>
    </row>
    <row r="53">
      <c r="A53" t="inlineStr">
        <is>
          <t>10090204</t>
        </is>
      </c>
      <c r="B53" t="inlineStr">
        <is>
          <t>2149046</t>
        </is>
      </c>
      <c r="C53" t="inlineStr">
        <is>
          <t>[CR] [2149046] [SS] [No.28-2025] Adjustment of the account opening flow on the PHS ELITE TRADING application</t>
        </is>
      </c>
      <c r="D53" t="inlineStr">
        <is>
          <t>CR</t>
        </is>
      </c>
      <c r="E53" t="inlineStr">
        <is>
          <t>SS</t>
        </is>
      </c>
      <c r="F53" t="inlineStr">
        <is>
          <t>Task</t>
        </is>
      </c>
      <c r="G53" t="inlineStr">
        <is>
          <t>0</t>
        </is>
      </c>
      <c r="H53" t="inlineStr">
        <is>
          <t>https://dev-ftl-jira.phs.vn/browse/PPM-5</t>
        </is>
      </c>
      <c r="I53" t="inlineStr">
        <is>
          <t>SS</t>
        </is>
      </c>
      <c r="J53" s="27" t="n">
        <v>46154.35486111111</v>
      </c>
      <c r="N53" s="27" t="n">
        <v>45973</v>
      </c>
      <c r="P53" s="27" t="n">
        <v>46206</v>
      </c>
      <c r="Q53" t="inlineStr"/>
      <c r="R53" t="inlineStr">
        <is>
          <t>Stuck tại VNPT</t>
        </is>
      </c>
      <c r="S53" t="inlineStr">
        <is>
          <t>Push VNPT</t>
        </is>
      </c>
    </row>
    <row r="54">
      <c r="A54" t="inlineStr">
        <is>
          <t>10090258</t>
        </is>
      </c>
      <c r="B54" t="inlineStr">
        <is>
          <t>2106995</t>
        </is>
      </c>
      <c r="C54" t="inlineStr">
        <is>
          <t>[CR] [2106995] [DTD] [No.25-2025] Add put-through order trading feature on PHS ELITE XPRO</t>
        </is>
      </c>
      <c r="D54" t="inlineStr">
        <is>
          <t>CR</t>
        </is>
      </c>
      <c r="E54" t="inlineStr">
        <is>
          <t>DTD</t>
        </is>
      </c>
      <c r="F54" t="inlineStr">
        <is>
          <t>Task</t>
        </is>
      </c>
      <c r="G54" t="inlineStr">
        <is>
          <t>0</t>
        </is>
      </c>
      <c r="H54" t="inlineStr">
        <is>
          <t>https://dev-ftl-jira.phs.vn/browse/PPM-94</t>
        </is>
      </c>
      <c r="I54" t="inlineStr">
        <is>
          <t>DTD</t>
        </is>
      </c>
      <c r="J54" s="27" t="n">
        <v>46154.36805555555</v>
      </c>
      <c r="N54" s="27" t="n">
        <v>45938</v>
      </c>
      <c r="P54" s="27" t="n">
        <v>46206</v>
      </c>
      <c r="Q54" t="inlineStr"/>
      <c r="R54" t="inlineStr">
        <is>
          <t>Còn case cảnh báo lệnh ngoài giờ với cả xác nhận lệnh 2F của nđt nước ngoài
Sở nghỉ sớm
Sở chuẩn bị mừng 50 năm thành phố mang tên bác</t>
        </is>
      </c>
      <c r="S54" t="inlineStr">
        <is>
          <t>Đợi sở mở đợt test tiếp theo</t>
        </is>
      </c>
    </row>
    <row r="55">
      <c r="A55" t="inlineStr">
        <is>
          <t>10090289</t>
        </is>
      </c>
      <c r="B55" t="inlineStr">
        <is>
          <t>2283752</t>
        </is>
      </c>
      <c r="C55" t="inlineStr">
        <is>
          <t>[CR] [2283752] [DTD] [No.03-2026] Send Notification via Elite App and mail all right issue</t>
        </is>
      </c>
      <c r="D55" t="inlineStr">
        <is>
          <t>CR</t>
        </is>
      </c>
      <c r="E55" t="inlineStr">
        <is>
          <t>DTD</t>
        </is>
      </c>
      <c r="F55" t="inlineStr">
        <is>
          <t>Task</t>
        </is>
      </c>
      <c r="G55" t="inlineStr">
        <is>
          <t>0</t>
        </is>
      </c>
      <c r="H55" t="inlineStr">
        <is>
          <t>https://dev-ftl-jira.phs.vn/browse/PPM-133</t>
        </is>
      </c>
      <c r="I55" t="inlineStr">
        <is>
          <t>DTD</t>
        </is>
      </c>
      <c r="J55" s="27" t="n">
        <v>46154.37222222222</v>
      </c>
      <c r="N55" s="27" t="n">
        <v>46049</v>
      </c>
      <c r="P55" s="27" t="n">
        <v>46206</v>
      </c>
      <c r="Q55" t="inlineStr"/>
      <c r="R55" t="inlineStr">
        <is>
          <t>Phát sinh case tài khoản phải kích hoạt nhận SMS trả phí
+ hiện tại, mobile chỉ gọi api để đăng kí  nhận template trả phí trong khi tài khoản chưa kích hoạt
+ đang nghiệp vụ đang test lại luồng đăng kí sms template cũ để verify có được trả phí hay chưa</t>
        </is>
      </c>
      <c r="S55" t="inlineStr">
        <is>
          <t>Push nghiệp vụ test
MW đánh giá xử lý case kích hoạt sms trả phí nếu khách hàng chưa kích hoạt</t>
        </is>
      </c>
    </row>
    <row r="56">
      <c r="A56" t="inlineStr">
        <is>
          <t>10090323</t>
        </is>
      </c>
      <c r="B56" t="inlineStr">
        <is>
          <t>2437753</t>
        </is>
      </c>
      <c r="C56" t="inlineStr">
        <is>
          <t>[CR] [2437753] [SS] [No.07-2026] AF &amp; LN Duplication &amp; Bulk Import Function</t>
        </is>
      </c>
      <c r="D56" t="inlineStr">
        <is>
          <t>CR</t>
        </is>
      </c>
      <c r="E56" t="inlineStr">
        <is>
          <t>SS</t>
        </is>
      </c>
      <c r="F56" t="inlineStr">
        <is>
          <t>Task</t>
        </is>
      </c>
      <c r="G56" t="inlineStr">
        <is>
          <t>0</t>
        </is>
      </c>
      <c r="H56" t="inlineStr"/>
      <c r="I56" t="inlineStr"/>
      <c r="J56" s="27" t="n">
        <v>46154.38055555556</v>
      </c>
      <c r="P56" s="27" t="n">
        <v>46206</v>
      </c>
      <c r="Q56" t="inlineStr"/>
      <c r="R56" t="inlineStr">
        <is>
          <t>Về CR.No.07.2026-MSD, do việc quản lý version hiện đang khá phức tạp và phần lớn các CR tại môi trường UAT chưa được Golive, nên ở thời điểm hiện tại phía FSS chưa thể triển khai phát triển CR này.
Theo kế hoạch Golive gần nhất, FSS dự kiến có thể bàn giao UAT vào ngày 31/08/2026.</t>
        </is>
      </c>
      <c r="S56" t="inlineStr">
        <is>
          <t>chuyển sang quý 3</t>
        </is>
      </c>
    </row>
    <row r="57">
      <c r="A57" t="inlineStr">
        <is>
          <t>10090283</t>
        </is>
      </c>
      <c r="B57" t="inlineStr">
        <is>
          <t>2289280</t>
        </is>
      </c>
      <c r="C57" t="inlineStr">
        <is>
          <t>[CR] [2289280] [FN] [No.01-2026] Future-Dated Withdrawal Scheduling for Customers</t>
        </is>
      </c>
      <c r="D57" t="inlineStr">
        <is>
          <t>CR</t>
        </is>
      </c>
      <c r="E57" t="inlineStr">
        <is>
          <t>FN</t>
        </is>
      </c>
      <c r="F57" t="inlineStr">
        <is>
          <t>Task</t>
        </is>
      </c>
      <c r="G57" t="inlineStr">
        <is>
          <t>0</t>
        </is>
      </c>
      <c r="H57" t="inlineStr">
        <is>
          <t>https://dev-ftl-jira.phs.vn/browse/PPM-191</t>
        </is>
      </c>
      <c r="I57" t="inlineStr">
        <is>
          <t>FN</t>
        </is>
      </c>
      <c r="J57" s="27" t="n">
        <v>46154.37013888889</v>
      </c>
      <c r="N57" s="27" t="n">
        <v>46052</v>
      </c>
      <c r="Q57" t="inlineStr"/>
      <c r="R57" t="inlineStr"/>
      <c r="S57" t="inlineStr"/>
    </row>
    <row r="58">
      <c r="A58" t="inlineStr">
        <is>
          <t>9739429</t>
        </is>
      </c>
      <c r="B58" t="inlineStr">
        <is>
          <t>2275303</t>
        </is>
      </c>
      <c r="C58" t="inlineStr">
        <is>
          <t>[CR] [2275303] [SS] Enhance securities depository features via the PHS Elite Trading application</t>
        </is>
      </c>
      <c r="D58" t="inlineStr">
        <is>
          <t>CR</t>
        </is>
      </c>
      <c r="E58" t="inlineStr">
        <is>
          <t>SS</t>
        </is>
      </c>
      <c r="F58" t="inlineStr">
        <is>
          <t>Task</t>
        </is>
      </c>
      <c r="G58" t="inlineStr">
        <is>
          <t>0</t>
        </is>
      </c>
      <c r="H58" t="inlineStr">
        <is>
          <t>https://dev-ftl-jira.phs.vn/browse/MEA-835</t>
        </is>
      </c>
      <c r="I58" t="inlineStr">
        <is>
          <t>SS</t>
        </is>
      </c>
      <c r="J58" s="27" t="n">
        <v>46084.69444444445</v>
      </c>
      <c r="L58" s="27" t="n">
        <v>46168.99930555555</v>
      </c>
      <c r="M58" s="27" t="n">
        <v>46202.59027777778</v>
      </c>
      <c r="N58" s="27" t="n">
        <v>46049</v>
      </c>
      <c r="Q58" t="inlineStr"/>
      <c r="R58" t="inlineStr"/>
      <c r="S58" t="inlineStr"/>
    </row>
    <row r="59">
      <c r="A59" t="inlineStr">
        <is>
          <t>9953652</t>
        </is>
      </c>
      <c r="B59" t="inlineStr">
        <is>
          <t>2310394</t>
        </is>
      </c>
      <c r="C59" t="inlineStr">
        <is>
          <t>[CR] [2310394] Tax analysis and estimation tools for investors (Phase 1)</t>
        </is>
      </c>
      <c r="D59" t="inlineStr">
        <is>
          <t>CR</t>
        </is>
      </c>
      <c r="E59" t="inlineStr"/>
      <c r="F59" t="inlineStr">
        <is>
          <t>Task</t>
        </is>
      </c>
      <c r="G59" t="inlineStr">
        <is>
          <t>0</t>
        </is>
      </c>
      <c r="H59" t="inlineStr">
        <is>
          <t>https://dev-ftl-jira.phs.vn/browse/MEA-1062</t>
        </is>
      </c>
      <c r="I59" t="inlineStr">
        <is>
          <t>ACC</t>
        </is>
      </c>
      <c r="J59" s="27" t="n">
        <v>46125.71180555555</v>
      </c>
      <c r="M59" s="27" t="n">
        <v>46202.58958333333</v>
      </c>
      <c r="N59" s="27" t="n">
        <v>46107</v>
      </c>
      <c r="Q59" t="inlineStr"/>
      <c r="R59" t="inlineStr"/>
      <c r="S59" t="inlineStr"/>
    </row>
    <row r="60">
      <c r="A60" t="inlineStr">
        <is>
          <t>9953677</t>
        </is>
      </c>
      <c r="B60" t="inlineStr">
        <is>
          <t>2400155</t>
        </is>
      </c>
      <c r="C60" t="inlineStr">
        <is>
          <t>[CR] [2400155] Marketing - Develop Mission Tracking Page for Promotion Q1.2026</t>
        </is>
      </c>
      <c r="D60" t="inlineStr">
        <is>
          <t>CR</t>
        </is>
      </c>
      <c r="E60" t="inlineStr"/>
      <c r="F60" t="inlineStr">
        <is>
          <t>Task</t>
        </is>
      </c>
      <c r="G60" t="inlineStr">
        <is>
          <t>0</t>
        </is>
      </c>
      <c r="H60" t="inlineStr">
        <is>
          <t>https://dev-ftl-jira.phs.vn/browse/MEA-1112</t>
        </is>
      </c>
      <c r="I60" t="inlineStr">
        <is>
          <t>MKT</t>
        </is>
      </c>
      <c r="J60" s="27" t="n">
        <v>46125.71805555555</v>
      </c>
      <c r="M60" s="27" t="n">
        <v>46202.58958333333</v>
      </c>
      <c r="N60" s="27" t="n">
        <v>46125</v>
      </c>
      <c r="Q60" t="inlineStr"/>
      <c r="R60" t="inlineStr"/>
      <c r="S60" t="inlineStr"/>
    </row>
    <row r="61">
      <c r="A61" t="inlineStr">
        <is>
          <t>9739428</t>
        </is>
      </c>
      <c r="B61" t="inlineStr">
        <is>
          <t>2329940</t>
        </is>
      </c>
      <c r="C61" t="inlineStr">
        <is>
          <t>[CR] [2329940] [RS] AI Chatbot Integration for Elite Mobile App &amp; Xpro Web Trading</t>
        </is>
      </c>
      <c r="D61" t="inlineStr">
        <is>
          <t>CR</t>
        </is>
      </c>
      <c r="E61" t="inlineStr">
        <is>
          <t>RS</t>
        </is>
      </c>
      <c r="F61" t="inlineStr">
        <is>
          <t>Task</t>
        </is>
      </c>
      <c r="G61" t="inlineStr">
        <is>
          <t>0</t>
        </is>
      </c>
      <c r="H61" t="inlineStr">
        <is>
          <t>https://dev-ftl-jira.phs.vn/browse/MEA-860</t>
        </is>
      </c>
      <c r="I61" t="inlineStr">
        <is>
          <t>RS</t>
        </is>
      </c>
      <c r="J61" s="27" t="n">
        <v>46084.69444444445</v>
      </c>
      <c r="L61" s="27" t="n">
        <v>46164.99930555555</v>
      </c>
      <c r="M61" s="27" t="n">
        <v>46178.40555555555</v>
      </c>
      <c r="N61" s="27" t="n">
        <v>46076</v>
      </c>
      <c r="Q61" t="inlineStr"/>
      <c r="R61" t="inlineStr"/>
      <c r="S61" t="inlineStr"/>
    </row>
    <row r="62">
      <c r="A62" t="inlineStr">
        <is>
          <t>9931785</t>
        </is>
      </c>
      <c r="B62" t="inlineStr">
        <is>
          <t>2306127</t>
        </is>
      </c>
      <c r="C62" t="inlineStr">
        <is>
          <t>[CR] [2306127] INB_ Proposal to implement the mobile app notifications for Elite Seeds</t>
        </is>
      </c>
      <c r="D62" t="inlineStr">
        <is>
          <t>CR</t>
        </is>
      </c>
      <c r="E62" t="inlineStr"/>
      <c r="F62" t="inlineStr">
        <is>
          <t>Task</t>
        </is>
      </c>
      <c r="G62" t="inlineStr">
        <is>
          <t>0</t>
        </is>
      </c>
      <c r="H62" t="inlineStr">
        <is>
          <t>https://dev-ftl-jira.phs.vn/browse/MEA-1037</t>
        </is>
      </c>
      <c r="I62" t="inlineStr">
        <is>
          <t>INB</t>
        </is>
      </c>
      <c r="J62" s="27" t="n">
        <v>46121.70833333334</v>
      </c>
      <c r="M62" s="27" t="n">
        <v>46169.56180555555</v>
      </c>
      <c r="N62" s="27" t="n">
        <v>46098</v>
      </c>
      <c r="Q62" t="inlineStr"/>
      <c r="R62" t="inlineStr"/>
      <c r="S62" t="inlineStr"/>
    </row>
    <row r="63">
      <c r="A63" t="inlineStr">
        <is>
          <t>10007137</t>
        </is>
      </c>
      <c r="B63" t="inlineStr">
        <is>
          <t>2372910</t>
        </is>
      </c>
      <c r="C63" t="inlineStr">
        <is>
          <t>[CR][2372910] [RESEARCH] Permission to get API data from OpenAcc web</t>
        </is>
      </c>
      <c r="D63" t="inlineStr">
        <is>
          <t>CR</t>
        </is>
      </c>
      <c r="E63" t="inlineStr"/>
      <c r="F63" t="inlineStr">
        <is>
          <t>Task</t>
        </is>
      </c>
      <c r="G63" t="inlineStr">
        <is>
          <t>0</t>
        </is>
      </c>
      <c r="H63" t="inlineStr"/>
      <c r="I63" t="inlineStr">
        <is>
          <t>RS</t>
        </is>
      </c>
      <c r="J63" s="27" t="n">
        <v>46136.39375</v>
      </c>
      <c r="M63" s="27" t="n">
        <v>46146.35138888889</v>
      </c>
      <c r="N63" s="27" t="n">
        <v>46099</v>
      </c>
      <c r="Q63" t="inlineStr"/>
      <c r="R63" t="inlineStr"/>
      <c r="S63" t="inlineStr"/>
    </row>
    <row r="64">
      <c r="A64" t="inlineStr">
        <is>
          <t>9739424</t>
        </is>
      </c>
      <c r="B64" t="inlineStr">
        <is>
          <t>2216483</t>
        </is>
      </c>
      <c r="C64" t="inlineStr">
        <is>
          <t>[CR] [2216483] [MSD] LOYALTY SYSTEM ON MOBILE APP</t>
        </is>
      </c>
      <c r="D64" t="inlineStr">
        <is>
          <t>CR</t>
        </is>
      </c>
      <c r="E64" t="inlineStr">
        <is>
          <t>MSD</t>
        </is>
      </c>
      <c r="F64" t="inlineStr">
        <is>
          <t>Task</t>
        </is>
      </c>
      <c r="G64" t="inlineStr">
        <is>
          <t>0</t>
        </is>
      </c>
      <c r="H64" t="inlineStr">
        <is>
          <t>https://dev-ftl-jira.phs.vn/browse/MEA-760</t>
        </is>
      </c>
      <c r="I64" t="inlineStr">
        <is>
          <t>SS</t>
        </is>
      </c>
      <c r="J64" s="27" t="n">
        <v>46084.69375</v>
      </c>
      <c r="M64" s="27" t="n">
        <v>46146.34375</v>
      </c>
      <c r="N64" s="27" t="n">
        <v>46022</v>
      </c>
      <c r="Q64" t="inlineStr"/>
      <c r="R64" t="inlineStr"/>
      <c r="S64" t="inlineStr"/>
    </row>
    <row r="65">
      <c r="A65" t="inlineStr">
        <is>
          <t>9931751</t>
        </is>
      </c>
      <c r="B65" t="inlineStr">
        <is>
          <t>2400512</t>
        </is>
      </c>
      <c r="C65" t="inlineStr">
        <is>
          <t>[SDK] [2400512] Upgrade the iOS and Android SDKs in accordance with the requirements of Apple and Google</t>
        </is>
      </c>
      <c r="D65" t="inlineStr">
        <is>
          <t>SDK</t>
        </is>
      </c>
      <c r="E65" t="inlineStr"/>
      <c r="F65" t="inlineStr">
        <is>
          <t>Task</t>
        </is>
      </c>
      <c r="G65" t="inlineStr">
        <is>
          <t>0</t>
        </is>
      </c>
      <c r="H65" t="inlineStr">
        <is>
          <t>https://dev-ftl-jira.phs.vn/browse/MEA-1012</t>
        </is>
      </c>
      <c r="I65" t="inlineStr">
        <is>
          <t>IT</t>
        </is>
      </c>
      <c r="J65" s="27" t="n">
        <v>46121.70625</v>
      </c>
      <c r="M65" s="27" t="n">
        <v>46132.34166666667</v>
      </c>
      <c r="N65" s="27" t="n">
        <v>46118</v>
      </c>
      <c r="Q65" t="inlineStr"/>
      <c r="R65" t="inlineStr"/>
      <c r="S65" t="inlineStr"/>
    </row>
    <row r="66">
      <c r="A66" t="inlineStr">
        <is>
          <t>9739423</t>
        </is>
      </c>
      <c r="B66" t="inlineStr">
        <is>
          <t>2222464</t>
        </is>
      </c>
      <c r="C66" t="inlineStr">
        <is>
          <t>[CR] [2222464] [RMD] Add sign-in method</t>
        </is>
      </c>
      <c r="D66" t="inlineStr">
        <is>
          <t>CR</t>
        </is>
      </c>
      <c r="E66" t="inlineStr">
        <is>
          <t>RMD</t>
        </is>
      </c>
      <c r="F66" t="inlineStr">
        <is>
          <t>Task</t>
        </is>
      </c>
      <c r="G66" t="inlineStr">
        <is>
          <t>0</t>
        </is>
      </c>
      <c r="H66" t="inlineStr">
        <is>
          <t>https://dev-ftl-jira.phs.vn/browse/MEA-785</t>
        </is>
      </c>
      <c r="I66" t="inlineStr">
        <is>
          <t>RMD</t>
        </is>
      </c>
      <c r="J66" s="27" t="n">
        <v>46084.69375</v>
      </c>
      <c r="M66" s="27" t="n">
        <v>46132.34097222222</v>
      </c>
      <c r="Q66" t="inlineStr"/>
      <c r="R66" t="inlineStr"/>
      <c r="S66" t="inlineStr"/>
    </row>
    <row r="67">
      <c r="A67" t="inlineStr">
        <is>
          <t>9739422</t>
        </is>
      </c>
      <c r="B67" t="inlineStr">
        <is>
          <t>2212813</t>
        </is>
      </c>
      <c r="C67" t="inlineStr">
        <is>
          <t>[CR] [2212813] [SS] Derivatives Order Placement UI Enhancement</t>
        </is>
      </c>
      <c r="D67" t="inlineStr">
        <is>
          <t>CR</t>
        </is>
      </c>
      <c r="E67" t="inlineStr">
        <is>
          <t>SS</t>
        </is>
      </c>
      <c r="F67" t="inlineStr">
        <is>
          <t>Task</t>
        </is>
      </c>
      <c r="G67" t="inlineStr">
        <is>
          <t>0</t>
        </is>
      </c>
      <c r="H67" t="inlineStr">
        <is>
          <t>https://dev-ftl-jira.phs.vn/browse/MEA-810</t>
        </is>
      </c>
      <c r="I67" t="inlineStr">
        <is>
          <t>SS</t>
        </is>
      </c>
      <c r="J67" s="27" t="n">
        <v>46084.69375</v>
      </c>
      <c r="M67" s="27" t="n">
        <v>46125.70972222222</v>
      </c>
      <c r="N67" s="27" t="n">
        <v>46064</v>
      </c>
      <c r="Q67" t="inlineStr"/>
      <c r="R67" t="inlineStr"/>
      <c r="S67" t="inlineStr"/>
    </row>
    <row r="68">
      <c r="A68" t="inlineStr">
        <is>
          <t>9739420</t>
        </is>
      </c>
      <c r="B68" t="inlineStr">
        <is>
          <t>2133352</t>
        </is>
      </c>
      <c r="C68" t="inlineStr">
        <is>
          <t>[CR] [2133352] [RMD] Margin product calculation tool</t>
        </is>
      </c>
      <c r="D68" t="inlineStr">
        <is>
          <t>CR</t>
        </is>
      </c>
      <c r="E68" t="inlineStr">
        <is>
          <t>RMD</t>
        </is>
      </c>
      <c r="F68" t="inlineStr">
        <is>
          <t>Task</t>
        </is>
      </c>
      <c r="G68" t="inlineStr">
        <is>
          <t>0</t>
        </is>
      </c>
      <c r="H68" t="inlineStr">
        <is>
          <t>https://dev-ftl-jira.phs.vn/browse/MEA-560</t>
        </is>
      </c>
      <c r="I68" t="inlineStr">
        <is>
          <t>RMD</t>
        </is>
      </c>
      <c r="J68" s="27" t="n">
        <v>46084.69375</v>
      </c>
      <c r="K68" s="27" t="n">
        <v>46083</v>
      </c>
      <c r="L68" s="27" t="n">
        <v>46111.99930555555</v>
      </c>
      <c r="M68" s="27" t="n">
        <v>46111.625</v>
      </c>
      <c r="N68" s="27" t="n">
        <v>45952</v>
      </c>
      <c r="Q68" t="inlineStr"/>
      <c r="R68" t="inlineStr"/>
      <c r="S68" t="inlineStr"/>
    </row>
    <row r="69">
      <c r="A69" t="inlineStr">
        <is>
          <t>9739418</t>
        </is>
      </c>
      <c r="B69" t="inlineStr">
        <is>
          <t>2247969</t>
        </is>
      </c>
      <c r="C69" t="inlineStr">
        <is>
          <t>[CR] [2247969] [SS] Add PCA trading stock labels and implement stock filtering features on the PHS Elite app</t>
        </is>
      </c>
      <c r="D69" t="inlineStr">
        <is>
          <t>CR</t>
        </is>
      </c>
      <c r="E69" t="inlineStr">
        <is>
          <t>SS</t>
        </is>
      </c>
      <c r="F69" t="inlineStr">
        <is>
          <t>Task</t>
        </is>
      </c>
      <c r="G69" t="inlineStr">
        <is>
          <t>0</t>
        </is>
      </c>
      <c r="H69" t="inlineStr">
        <is>
          <t>https://dev-ftl-jira.phs.vn/browse/MEA-610</t>
        </is>
      </c>
      <c r="I69" t="inlineStr">
        <is>
          <t>SS</t>
        </is>
      </c>
      <c r="J69" s="27" t="n">
        <v>46084.69375</v>
      </c>
      <c r="K69" s="27" t="n">
        <v>46092</v>
      </c>
      <c r="L69" s="27" t="n">
        <v>46111.99930555555</v>
      </c>
      <c r="M69" s="27" t="n">
        <v>46111.625</v>
      </c>
      <c r="N69" s="27" t="n">
        <v>46021</v>
      </c>
      <c r="O69" s="27" t="n">
        <v>46080</v>
      </c>
      <c r="Q69" t="inlineStr"/>
      <c r="R69" t="inlineStr"/>
      <c r="S69" t="inlineStr"/>
    </row>
    <row r="70">
      <c r="A70" t="inlineStr">
        <is>
          <t>9739416</t>
        </is>
      </c>
      <c r="B70" t="inlineStr">
        <is>
          <t>2186435</t>
        </is>
      </c>
      <c r="C70" t="inlineStr">
        <is>
          <t>[CR] [2186435] [MSD] PROMOTION REGISTRATION FUNCTION UPGRADE</t>
        </is>
      </c>
      <c r="D70" t="inlineStr">
        <is>
          <t>CR</t>
        </is>
      </c>
      <c r="E70" t="inlineStr">
        <is>
          <t>MSD</t>
        </is>
      </c>
      <c r="F70" t="inlineStr">
        <is>
          <t>Task</t>
        </is>
      </c>
      <c r="G70" t="inlineStr">
        <is>
          <t>0</t>
        </is>
      </c>
      <c r="H70" t="inlineStr">
        <is>
          <t>https://dev-ftl-jira.phs.vn/browse/MEA-660</t>
        </is>
      </c>
      <c r="I70" t="inlineStr">
        <is>
          <t>SS</t>
        </is>
      </c>
      <c r="J70" s="27" t="n">
        <v>46084.69375</v>
      </c>
      <c r="K70" s="27" t="n">
        <v>46083</v>
      </c>
      <c r="L70" s="27" t="n">
        <v>46111.99930555555</v>
      </c>
      <c r="M70" s="27" t="n">
        <v>46111.62430555555</v>
      </c>
      <c r="N70" s="27" t="n">
        <v>45986</v>
      </c>
      <c r="O70" s="27" t="n">
        <v>46056</v>
      </c>
      <c r="Q70" t="inlineStr"/>
      <c r="R70" t="inlineStr"/>
      <c r="S70" t="inlineStr"/>
    </row>
    <row r="71">
      <c r="A71" t="inlineStr">
        <is>
          <t>9739417</t>
        </is>
      </c>
      <c r="B71" t="inlineStr">
        <is>
          <t>2285823</t>
        </is>
      </c>
      <c r="C71" t="inlineStr">
        <is>
          <t>[CR] [2285823] [IC] THE LOGIN SCREEN GREETING MESSAGE</t>
        </is>
      </c>
      <c r="D71" t="inlineStr">
        <is>
          <t>CR</t>
        </is>
      </c>
      <c r="E71" t="inlineStr">
        <is>
          <t>IC</t>
        </is>
      </c>
      <c r="F71" t="inlineStr">
        <is>
          <t>Task</t>
        </is>
      </c>
      <c r="G71" t="inlineStr">
        <is>
          <t>0</t>
        </is>
      </c>
      <c r="H71" t="inlineStr">
        <is>
          <t>https://dev-ftl-jira.phs.vn/browse/MEA-635</t>
        </is>
      </c>
      <c r="I71" t="inlineStr">
        <is>
          <t>IC</t>
        </is>
      </c>
      <c r="J71" s="27" t="n">
        <v>46084.69375</v>
      </c>
      <c r="K71" s="27" t="n">
        <v>46084</v>
      </c>
      <c r="L71" s="27" t="n">
        <v>46097.99930555555</v>
      </c>
      <c r="M71" s="27" t="n">
        <v>46097.46597222222</v>
      </c>
      <c r="N71" s="27" t="n">
        <v>46049</v>
      </c>
      <c r="O71" s="27" t="n">
        <v>46083</v>
      </c>
      <c r="Q71" t="inlineStr"/>
      <c r="R71" t="inlineStr"/>
      <c r="S71" t="inlineStr"/>
    </row>
    <row r="72">
      <c r="A72" t="inlineStr">
        <is>
          <t>9739421</t>
        </is>
      </c>
      <c r="B72" t="inlineStr">
        <is>
          <t>2224919</t>
        </is>
      </c>
      <c r="C72" t="inlineStr">
        <is>
          <t>[CR] [2224919] [SS] Feature to save multiple login accounts on a single device in the PHS Elite Trading app</t>
        </is>
      </c>
      <c r="D72" t="inlineStr">
        <is>
          <t>CR</t>
        </is>
      </c>
      <c r="E72" t="inlineStr">
        <is>
          <t>SS</t>
        </is>
      </c>
      <c r="F72" t="inlineStr">
        <is>
          <t>Task</t>
        </is>
      </c>
      <c r="G72" t="inlineStr">
        <is>
          <t>0</t>
        </is>
      </c>
      <c r="H72" t="inlineStr">
        <is>
          <t>https://dev-ftl-jira.phs.vn/browse/MEA-535</t>
        </is>
      </c>
      <c r="I72" t="inlineStr">
        <is>
          <t>SS</t>
        </is>
      </c>
      <c r="J72" s="27" t="n">
        <v>46084.69375</v>
      </c>
      <c r="K72" s="27" t="n">
        <v>46079</v>
      </c>
      <c r="L72" s="27" t="n">
        <v>46097.99930555555</v>
      </c>
      <c r="M72" s="27" t="n">
        <v>46097.46527777778</v>
      </c>
      <c r="N72" s="27" t="n">
        <v>46010</v>
      </c>
      <c r="Q72" t="inlineStr"/>
      <c r="R72" t="inlineStr"/>
      <c r="S72" t="inlineStr"/>
    </row>
    <row r="73">
      <c r="A73" t="inlineStr">
        <is>
          <t>9739413</t>
        </is>
      </c>
      <c r="B73" t="inlineStr">
        <is>
          <t>2302697</t>
        </is>
      </c>
      <c r="C73" t="inlineStr">
        <is>
          <t>[CR] [2302697] [LG] Add content regarding personal data protection</t>
        </is>
      </c>
      <c r="D73" t="inlineStr">
        <is>
          <t>CR</t>
        </is>
      </c>
      <c r="E73" t="inlineStr">
        <is>
          <t>LG</t>
        </is>
      </c>
      <c r="F73" t="inlineStr">
        <is>
          <t>Task</t>
        </is>
      </c>
      <c r="G73" t="inlineStr">
        <is>
          <t>0</t>
        </is>
      </c>
      <c r="H73" t="inlineStr">
        <is>
          <t>https://dev-ftl-jira.phs.vn/browse/MEA-735</t>
        </is>
      </c>
      <c r="I73" t="inlineStr">
        <is>
          <t>LG</t>
        </is>
      </c>
      <c r="J73" s="27" t="n">
        <v>46084.69375</v>
      </c>
      <c r="M73" s="27" t="n">
        <v>46087.37430555555</v>
      </c>
      <c r="N73" s="27" t="n">
        <v>46051</v>
      </c>
      <c r="Q73" t="inlineStr"/>
      <c r="R73" t="inlineStr"/>
      <c r="S73" t="inlineStr"/>
    </row>
    <row r="74">
      <c r="A74" t="inlineStr">
        <is>
          <t>9739430</t>
        </is>
      </c>
      <c r="B74" t="inlineStr">
        <is>
          <t>2185585</t>
        </is>
      </c>
      <c r="C74" t="inlineStr">
        <is>
          <t>[CR] [2185585] [IT] Add the Reward Redemption feature to the PHS Elite Trading application</t>
        </is>
      </c>
      <c r="D74" t="inlineStr">
        <is>
          <t>CR</t>
        </is>
      </c>
      <c r="E74" t="inlineStr">
        <is>
          <t>IT</t>
        </is>
      </c>
      <c r="F74" t="inlineStr">
        <is>
          <t>Task</t>
        </is>
      </c>
      <c r="G74" t="inlineStr">
        <is>
          <t>0</t>
        </is>
      </c>
      <c r="H74" t="inlineStr">
        <is>
          <t>https://dev-ftl-jira.phs.vn/browse/MEA-510</t>
        </is>
      </c>
      <c r="I74" t="inlineStr">
        <is>
          <t>IT</t>
        </is>
      </c>
      <c r="J74" s="27" t="n">
        <v>46084.69444444445</v>
      </c>
      <c r="M74" s="27" t="n">
        <v>46084.69513888889</v>
      </c>
      <c r="N74" s="27" t="n">
        <v>45982</v>
      </c>
      <c r="O74" s="27" t="n">
        <v>46064</v>
      </c>
      <c r="Q74" t="inlineStr"/>
      <c r="R74" t="inlineStr"/>
      <c r="S74" t="inlineStr"/>
    </row>
    <row r="75">
      <c r="A75" t="inlineStr">
        <is>
          <t>9739431</t>
        </is>
      </c>
      <c r="B75" t="inlineStr">
        <is>
          <t>2154685</t>
        </is>
      </c>
      <c r="C75" t="inlineStr">
        <is>
          <t>[CR] [2154685] [INB] Mutual Fund Distribution (Phase 2)</t>
        </is>
      </c>
      <c r="D75" t="inlineStr">
        <is>
          <t>CR</t>
        </is>
      </c>
      <c r="E75" t="inlineStr">
        <is>
          <t>INB</t>
        </is>
      </c>
      <c r="F75" t="inlineStr">
        <is>
          <t>Task</t>
        </is>
      </c>
      <c r="G75" t="inlineStr">
        <is>
          <t>0</t>
        </is>
      </c>
      <c r="H75" t="inlineStr">
        <is>
          <t>https://dev-ftl-jira.phs.vn/browse/MEA-485</t>
        </is>
      </c>
      <c r="I75" t="inlineStr">
        <is>
          <t>INB</t>
        </is>
      </c>
      <c r="J75" s="27" t="n">
        <v>46084.69444444445</v>
      </c>
      <c r="M75" s="27" t="n">
        <v>46084.69513888889</v>
      </c>
      <c r="N75" s="27" t="n">
        <v>45972</v>
      </c>
      <c r="O75" s="27" t="n">
        <v>46001</v>
      </c>
      <c r="Q75" t="inlineStr"/>
      <c r="R75" t="inlineStr"/>
      <c r="S75" t="inlineStr"/>
    </row>
    <row r="76">
      <c r="A76" t="inlineStr">
        <is>
          <t>9739432</t>
        </is>
      </c>
      <c r="B76" t="inlineStr"/>
      <c r="C76" t="inlineStr">
        <is>
          <t>[MKT] Update Logo PHS 20 years anniversary</t>
        </is>
      </c>
      <c r="D76" t="inlineStr">
        <is>
          <t>Internal</t>
        </is>
      </c>
      <c r="E76" t="inlineStr"/>
      <c r="F76" t="inlineStr">
        <is>
          <t>Task</t>
        </is>
      </c>
      <c r="G76" t="inlineStr">
        <is>
          <t>0</t>
        </is>
      </c>
      <c r="H76" t="inlineStr">
        <is>
          <t>https://dev-ftl-jira.phs.vn/browse/MEA-460</t>
        </is>
      </c>
      <c r="I76" t="inlineStr">
        <is>
          <t>MKT</t>
        </is>
      </c>
      <c r="J76" s="27" t="n">
        <v>46084.69444444445</v>
      </c>
      <c r="M76" s="27" t="n">
        <v>46084.69513888889</v>
      </c>
      <c r="N76" s="27" t="n">
        <v>46056</v>
      </c>
      <c r="Q76" t="inlineStr"/>
      <c r="R76" t="inlineStr"/>
      <c r="S76" t="inlineStr"/>
    </row>
    <row r="77">
      <c r="A77" t="inlineStr">
        <is>
          <t>9739433</t>
        </is>
      </c>
      <c r="B77" t="inlineStr">
        <is>
          <t>2077975</t>
        </is>
      </c>
      <c r="C77" t="inlineStr">
        <is>
          <t>[CR] [2077975] [MKT] Collaboration with Woori Bank Proposal</t>
        </is>
      </c>
      <c r="D77" t="inlineStr">
        <is>
          <t>CR</t>
        </is>
      </c>
      <c r="E77" t="inlineStr">
        <is>
          <t>MKT</t>
        </is>
      </c>
      <c r="F77" t="inlineStr">
        <is>
          <t>Task</t>
        </is>
      </c>
      <c r="G77" t="inlineStr">
        <is>
          <t>0</t>
        </is>
      </c>
      <c r="H77" t="inlineStr">
        <is>
          <t>https://dev-ftl-jira.phs.vn/browse/MEA-435</t>
        </is>
      </c>
      <c r="I77" t="inlineStr">
        <is>
          <t>MKT</t>
        </is>
      </c>
      <c r="J77" s="27" t="n">
        <v>46084.69444444445</v>
      </c>
      <c r="M77" s="27" t="n">
        <v>46084.69513888889</v>
      </c>
      <c r="N77" s="27" t="n">
        <v>45980</v>
      </c>
      <c r="Q77" t="inlineStr"/>
      <c r="R77" t="inlineStr"/>
      <c r="S77" t="inlineStr"/>
    </row>
    <row r="78">
      <c r="A78" t="inlineStr">
        <is>
          <t>9739434</t>
        </is>
      </c>
      <c r="B78" t="inlineStr">
        <is>
          <t>2196774</t>
        </is>
      </c>
      <c r="C78" t="inlineStr">
        <is>
          <t>[CR] [2196774] [INB] Proposed modifications of Mobile UI and middleware modules to facilitate Elite Seeds sub-account deployment</t>
        </is>
      </c>
      <c r="D78" t="inlineStr">
        <is>
          <t>CR</t>
        </is>
      </c>
      <c r="E78" t="inlineStr">
        <is>
          <t>INB</t>
        </is>
      </c>
      <c r="F78" t="inlineStr">
        <is>
          <t>Task</t>
        </is>
      </c>
      <c r="G78" t="inlineStr">
        <is>
          <t>0</t>
        </is>
      </c>
      <c r="H78" t="inlineStr">
        <is>
          <t>https://dev-ftl-jira.phs.vn/browse/MEA-410</t>
        </is>
      </c>
      <c r="I78" t="inlineStr">
        <is>
          <t>INB</t>
        </is>
      </c>
      <c r="J78" s="27" t="n">
        <v>46084.69444444445</v>
      </c>
      <c r="M78" s="27" t="n">
        <v>46084.69513888889</v>
      </c>
      <c r="N78" s="27" t="n">
        <v>45942</v>
      </c>
      <c r="Q78" t="inlineStr"/>
      <c r="R78" t="inlineStr"/>
      <c r="S78" t="inlineStr"/>
    </row>
    <row r="79">
      <c r="A79" t="inlineStr">
        <is>
          <t>9739435</t>
        </is>
      </c>
      <c r="B79" t="inlineStr">
        <is>
          <t>2242463</t>
        </is>
      </c>
      <c r="C79" t="inlineStr">
        <is>
          <t>[CR] [2242463] [MSD] PROMOTION: HORSE YEAR FORTUNE 2026</t>
        </is>
      </c>
      <c r="D79" t="inlineStr">
        <is>
          <t>CR</t>
        </is>
      </c>
      <c r="E79" t="inlineStr">
        <is>
          <t>MSD</t>
        </is>
      </c>
      <c r="F79" t="inlineStr">
        <is>
          <t>Task</t>
        </is>
      </c>
      <c r="G79" t="inlineStr">
        <is>
          <t>0</t>
        </is>
      </c>
      <c r="H79" t="inlineStr">
        <is>
          <t>https://dev-ftl-jira.phs.vn/browse/MEA-385</t>
        </is>
      </c>
      <c r="I79" t="inlineStr">
        <is>
          <t>SS</t>
        </is>
      </c>
      <c r="J79" s="27" t="n">
        <v>46084.69444444445</v>
      </c>
      <c r="M79" s="27" t="n">
        <v>46084.69513888889</v>
      </c>
      <c r="Q79" t="inlineStr"/>
      <c r="R79" t="inlineStr"/>
      <c r="S79" t="inlineStr"/>
    </row>
    <row r="80">
      <c r="A80" t="inlineStr">
        <is>
          <t>9739436</t>
        </is>
      </c>
      <c r="B80" t="inlineStr">
        <is>
          <t>2185583</t>
        </is>
      </c>
      <c r="C80" t="inlineStr">
        <is>
          <t>[CR] [2185583] [IT] Enhancement of the Smart OTP Function on the PHS Elite Trading Application</t>
        </is>
      </c>
      <c r="D80" t="inlineStr">
        <is>
          <t>CR</t>
        </is>
      </c>
      <c r="E80" t="inlineStr">
        <is>
          <t>IT</t>
        </is>
      </c>
      <c r="F80" t="inlineStr">
        <is>
          <t>Task</t>
        </is>
      </c>
      <c r="G80" t="inlineStr">
        <is>
          <t>0</t>
        </is>
      </c>
      <c r="H80" t="inlineStr">
        <is>
          <t>https://dev-ftl-jira.phs.vn/browse/MEA-360</t>
        </is>
      </c>
      <c r="I80" t="inlineStr">
        <is>
          <t>IT</t>
        </is>
      </c>
      <c r="J80" s="27" t="n">
        <v>46084.69444444445</v>
      </c>
      <c r="M80" s="27" t="n">
        <v>46084.69513888889</v>
      </c>
      <c r="N80" s="27" t="n">
        <v>45985</v>
      </c>
      <c r="Q80" t="inlineStr"/>
      <c r="R80" t="inlineStr"/>
      <c r="S80" t="inlineStr"/>
    </row>
    <row r="81">
      <c r="A81" t="inlineStr">
        <is>
          <t>9739106</t>
        </is>
      </c>
      <c r="B81" t="inlineStr">
        <is>
          <t>2213580</t>
        </is>
      </c>
      <c r="C81" t="inlineStr">
        <is>
          <t>[CR] [2213580] [CCC] Enhancement Successful Reward Redemption Notifications via Email and the PHS Elite Trading App</t>
        </is>
      </c>
      <c r="D81" t="inlineStr">
        <is>
          <t>CR</t>
        </is>
      </c>
      <c r="E81" t="inlineStr">
        <is>
          <t>CCC</t>
        </is>
      </c>
      <c r="F81" t="inlineStr">
        <is>
          <t>Task</t>
        </is>
      </c>
      <c r="G81" t="inlineStr">
        <is>
          <t>0</t>
        </is>
      </c>
      <c r="H81" t="inlineStr">
        <is>
          <t>https://dev-ftl-jira.phs.vn/browse/PP-3</t>
        </is>
      </c>
      <c r="I81" t="inlineStr">
        <is>
          <t>CCC</t>
        </is>
      </c>
      <c r="J81" s="27" t="n">
        <v>46084.65763888889</v>
      </c>
      <c r="M81" s="27" t="n">
        <v>46098.45277777778</v>
      </c>
      <c r="N81" s="27" t="n">
        <v>46010</v>
      </c>
      <c r="O81" s="27" t="n">
        <v>46042</v>
      </c>
      <c r="Q81" t="inlineStr"/>
      <c r="R81" t="inlineStr"/>
      <c r="S81" t="inlineStr"/>
    </row>
    <row r="82">
      <c r="A82" t="inlineStr">
        <is>
          <t>9739108</t>
        </is>
      </c>
      <c r="B82" t="inlineStr">
        <is>
          <t>2186435</t>
        </is>
      </c>
      <c r="C82" t="inlineStr">
        <is>
          <t>[CR] [2186435] [MSD] Enhance Promotion features on Admin Customer Portal</t>
        </is>
      </c>
      <c r="D82" t="inlineStr">
        <is>
          <t>CR</t>
        </is>
      </c>
      <c r="E82" t="inlineStr">
        <is>
          <t>MSD</t>
        </is>
      </c>
      <c r="F82" t="inlineStr">
        <is>
          <t>Task</t>
        </is>
      </c>
      <c r="G82" t="inlineStr">
        <is>
          <t>0</t>
        </is>
      </c>
      <c r="H82" t="inlineStr">
        <is>
          <t>https://dev-ftl-jira.phs.vn/browse/PP-12</t>
        </is>
      </c>
      <c r="I82" t="inlineStr">
        <is>
          <t>MSD</t>
        </is>
      </c>
      <c r="J82" s="27" t="n">
        <v>46084.65763888889</v>
      </c>
      <c r="K82" s="27" t="n">
        <v>46083</v>
      </c>
      <c r="L82" s="27" t="n">
        <v>46090.99930555555</v>
      </c>
      <c r="M82" s="27" t="n">
        <v>46091.36597222222</v>
      </c>
      <c r="N82" s="27" t="n">
        <v>45986</v>
      </c>
      <c r="O82" s="27" t="n">
        <v>46044</v>
      </c>
      <c r="Q82" t="inlineStr"/>
      <c r="R82" t="inlineStr"/>
      <c r="S82" t="inlineStr"/>
    </row>
    <row r="83">
      <c r="A83" t="inlineStr">
        <is>
          <t>9739105</t>
        </is>
      </c>
      <c r="B83" t="inlineStr">
        <is>
          <t>2065876</t>
        </is>
      </c>
      <c r="C83" t="inlineStr">
        <is>
          <t>[CR] [2065876] [MSD] Add a feature to view the registration/deletion history of beneficiary accounts (Same-owner transfer) on the Admin Customer Portal</t>
        </is>
      </c>
      <c r="D83" t="inlineStr">
        <is>
          <t>CR</t>
        </is>
      </c>
      <c r="E83" t="inlineStr">
        <is>
          <t>MSD</t>
        </is>
      </c>
      <c r="F83" t="inlineStr">
        <is>
          <t>Task</t>
        </is>
      </c>
      <c r="G83" t="inlineStr">
        <is>
          <t>0</t>
        </is>
      </c>
      <c r="H83" t="inlineStr">
        <is>
          <t>https://dev-ftl-jira.phs.vn/browse/PP-1</t>
        </is>
      </c>
      <c r="I83" t="inlineStr">
        <is>
          <t>MSD</t>
        </is>
      </c>
      <c r="J83" s="27" t="n">
        <v>46084.65694444445</v>
      </c>
      <c r="M83" s="27" t="n">
        <v>46085.28888888889</v>
      </c>
      <c r="N83" s="27" t="n">
        <v>45911</v>
      </c>
      <c r="O83" s="27" t="n">
        <v>45985</v>
      </c>
      <c r="Q83" t="inlineStr"/>
      <c r="R83" t="inlineStr"/>
      <c r="S83" t="inlineStr"/>
    </row>
    <row r="84">
      <c r="A84" t="inlineStr">
        <is>
          <t>9744376</t>
        </is>
      </c>
      <c r="B84" t="inlineStr">
        <is>
          <t>1722552</t>
        </is>
      </c>
      <c r="C84" t="inlineStr">
        <is>
          <t>[CR] [1722552] [BMD] Provide API data source for Transaction fluctuation function in Broker portal</t>
        </is>
      </c>
      <c r="D84" t="inlineStr">
        <is>
          <t>CR</t>
        </is>
      </c>
      <c r="E84" t="inlineStr">
        <is>
          <t>BMD</t>
        </is>
      </c>
      <c r="F84" t="inlineStr">
        <is>
          <t>Task</t>
        </is>
      </c>
      <c r="G84" t="inlineStr">
        <is>
          <t>0</t>
        </is>
      </c>
      <c r="H84" t="inlineStr"/>
      <c r="I84" t="inlineStr">
        <is>
          <t>BMD</t>
        </is>
      </c>
      <c r="J84" s="27" t="n">
        <v>46085.68402777778</v>
      </c>
      <c r="L84" s="27" t="n">
        <v>46066.99930555555</v>
      </c>
      <c r="M84" s="27" t="n">
        <v>46085.68680555555</v>
      </c>
      <c r="N84" s="27" t="n">
        <v>45714</v>
      </c>
      <c r="Q84" t="inlineStr"/>
      <c r="R84" t="inlineStr"/>
      <c r="S8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sheetData>
    <row r="1">
      <c r="A1" s="26" t="inlineStr">
        <is>
          <t>team</t>
        </is>
      </c>
      <c r="B1" s="26" t="inlineStr">
        <is>
          <t>lead_email</t>
        </is>
      </c>
    </row>
    <row r="2">
      <c r="A2" t="inlineStr">
        <is>
          <t>Team Mobile</t>
        </is>
      </c>
      <c r="B2" t="inlineStr">
        <is>
          <t>phongvo@phs.vn</t>
        </is>
      </c>
    </row>
    <row r="3">
      <c r="A3" t="inlineStr">
        <is>
          <t>Dev Team B</t>
        </is>
      </c>
      <c r="B3" t="inlineStr">
        <is>
          <t>minhvo@phs.vn</t>
        </is>
      </c>
    </row>
    <row r="4">
      <c r="A4" t="inlineStr">
        <is>
          <t>MW Team</t>
        </is>
      </c>
      <c r="B4" t="inlineStr">
        <is>
          <t>huunguyen@phs.vn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sheetData>
    <row r="1">
      <c r="A1" s="26" t="inlineStr">
        <is>
          <t>stage</t>
        </is>
      </c>
      <c r="B1" s="26" t="inlineStr">
        <is>
          <t>stage_order</t>
        </is>
      </c>
      <c r="C1" s="26" t="inlineStr">
        <is>
          <t>status_group</t>
        </is>
      </c>
    </row>
    <row r="2">
      <c r="A2" t="inlineStr">
        <is>
          <t>Rejected</t>
        </is>
      </c>
      <c r="B2" t="n">
        <v>-1</v>
      </c>
      <c r="C2" t="inlineStr">
        <is>
          <t>Rejected</t>
        </is>
      </c>
    </row>
    <row r="3">
      <c r="A3" t="inlineStr">
        <is>
          <t>Backlog</t>
        </is>
      </c>
      <c r="B3" t="n">
        <v>0</v>
      </c>
      <c r="C3" t="inlineStr">
        <is>
          <t>Todo</t>
        </is>
      </c>
    </row>
    <row r="4">
      <c r="A4" t="inlineStr">
        <is>
          <t>Discuss Req</t>
        </is>
      </c>
      <c r="B4" t="n">
        <v>1</v>
      </c>
      <c r="C4" t="inlineStr">
        <is>
          <t>Doing</t>
        </is>
      </c>
    </row>
    <row r="5">
      <c r="A5" t="inlineStr">
        <is>
          <t>FSS Eval CR</t>
        </is>
      </c>
      <c r="B5" t="n">
        <v>1</v>
      </c>
      <c r="C5" t="inlineStr">
        <is>
          <t>Doing</t>
        </is>
      </c>
    </row>
    <row r="6">
      <c r="A6" t="inlineStr">
        <is>
          <t>Design UI/UX</t>
        </is>
      </c>
      <c r="B6" t="n">
        <v>2</v>
      </c>
      <c r="C6" t="inlineStr">
        <is>
          <t>Doing</t>
        </is>
      </c>
    </row>
    <row r="7">
      <c r="A7" t="inlineStr">
        <is>
          <t>Design review</t>
        </is>
      </c>
      <c r="B7" t="n">
        <v>2</v>
      </c>
      <c r="C7" t="inlineStr">
        <is>
          <t>Doing</t>
        </is>
      </c>
    </row>
    <row r="8">
      <c r="A8" t="inlineStr">
        <is>
          <t>Dev To do</t>
        </is>
      </c>
      <c r="B8" t="n">
        <v>3</v>
      </c>
      <c r="C8" t="inlineStr">
        <is>
          <t>Todo</t>
        </is>
      </c>
    </row>
    <row r="9">
      <c r="A9" t="inlineStr">
        <is>
          <t>FTL Coding</t>
        </is>
      </c>
      <c r="B9" t="n">
        <v>3</v>
      </c>
      <c r="C9" t="inlineStr">
        <is>
          <t>Doing</t>
        </is>
      </c>
    </row>
    <row r="10">
      <c r="A10" t="inlineStr">
        <is>
          <t>Web B Coding</t>
        </is>
      </c>
      <c r="B10" t="n">
        <v>3</v>
      </c>
      <c r="C10" t="inlineStr">
        <is>
          <t>Doing</t>
        </is>
      </c>
    </row>
    <row r="11">
      <c r="A11" t="inlineStr">
        <is>
          <t>Waiting FTL</t>
        </is>
      </c>
      <c r="B11" t="n">
        <v>3</v>
      </c>
      <c r="C11" t="inlineStr">
        <is>
          <t>Blocked</t>
        </is>
      </c>
    </row>
    <row r="12">
      <c r="A12" t="inlineStr">
        <is>
          <t>Pending</t>
        </is>
      </c>
      <c r="B12" t="n">
        <v>3</v>
      </c>
      <c r="C12" t="inlineStr">
        <is>
          <t>Blocked</t>
        </is>
      </c>
    </row>
    <row r="13">
      <c r="A13" t="inlineStr">
        <is>
          <t>UAT Testing</t>
        </is>
      </c>
      <c r="B13" t="n">
        <v>5</v>
      </c>
      <c r="C13" t="inlineStr">
        <is>
          <t>UAT</t>
        </is>
      </c>
    </row>
    <row r="14">
      <c r="A14" t="inlineStr">
        <is>
          <t>Ready for go-live</t>
        </is>
      </c>
      <c r="B14" t="n">
        <v>6</v>
      </c>
      <c r="C14" t="inlineStr">
        <is>
          <t>Done</t>
        </is>
      </c>
    </row>
    <row r="15">
      <c r="A15" t="inlineStr">
        <is>
          <t>Go-live</t>
        </is>
      </c>
      <c r="B15" t="n">
        <v>7</v>
      </c>
      <c r="C15" t="inlineStr">
        <is>
          <t>Done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4"/>
  <sheetViews>
    <sheetView workbookViewId="0">
      <pane ySplit="1" topLeftCell="A2" activePane="bottomLeft" state="frozen"/>
      <selection pane="bottomLeft" activeCell="A1" sqref="A1"/>
    </sheetView>
  </sheetViews>
  <sheetFormatPr baseColWidth="8" defaultRowHeight="15"/>
  <sheetData>
    <row r="1">
      <c r="A1" s="26" t="inlineStr">
        <is>
          <t>task_id</t>
        </is>
      </c>
      <c r="B1" s="26" t="inlineStr">
        <is>
          <t>division</t>
        </is>
      </c>
    </row>
    <row r="2">
      <c r="A2" t="inlineStr">
        <is>
          <t>10274446</t>
        </is>
      </c>
      <c r="B2" t="inlineStr">
        <is>
          <t>RMD</t>
        </is>
      </c>
    </row>
    <row r="3">
      <c r="A3" t="inlineStr">
        <is>
          <t>10223433</t>
        </is>
      </c>
      <c r="B3" t="inlineStr">
        <is>
          <t>RMD</t>
        </is>
      </c>
    </row>
    <row r="4">
      <c r="A4" t="inlineStr">
        <is>
          <t>10223433</t>
        </is>
      </c>
      <c r="B4" t="inlineStr">
        <is>
          <t>IT</t>
        </is>
      </c>
    </row>
    <row r="5">
      <c r="A5" t="inlineStr">
        <is>
          <t>10055830</t>
        </is>
      </c>
      <c r="B5" t="inlineStr">
        <is>
          <t>RMD</t>
        </is>
      </c>
    </row>
    <row r="6">
      <c r="A6" t="inlineStr">
        <is>
          <t>10055830</t>
        </is>
      </c>
      <c r="B6" t="inlineStr">
        <is>
          <t>IT</t>
        </is>
      </c>
    </row>
    <row r="7">
      <c r="A7" t="inlineStr">
        <is>
          <t>9739419</t>
        </is>
      </c>
      <c r="B7" t="inlineStr">
        <is>
          <t>IT</t>
        </is>
      </c>
    </row>
    <row r="8">
      <c r="A8" t="inlineStr">
        <is>
          <t>9739419</t>
        </is>
      </c>
      <c r="B8" t="inlineStr">
        <is>
          <t>SS</t>
        </is>
      </c>
    </row>
    <row r="9">
      <c r="A9" t="inlineStr">
        <is>
          <t>9739414</t>
        </is>
      </c>
      <c r="B9" t="inlineStr">
        <is>
          <t>IT</t>
        </is>
      </c>
    </row>
    <row r="10">
      <c r="A10" t="inlineStr">
        <is>
          <t>9739414</t>
        </is>
      </c>
      <c r="B10" t="inlineStr">
        <is>
          <t>SS</t>
        </is>
      </c>
    </row>
    <row r="11">
      <c r="A11" t="inlineStr">
        <is>
          <t>9739414</t>
        </is>
      </c>
      <c r="B11" t="inlineStr">
        <is>
          <t>LG</t>
        </is>
      </c>
    </row>
    <row r="12">
      <c r="A12" t="inlineStr">
        <is>
          <t>9739414</t>
        </is>
      </c>
      <c r="B12" t="inlineStr">
        <is>
          <t>IC</t>
        </is>
      </c>
    </row>
    <row r="13">
      <c r="A13" t="inlineStr">
        <is>
          <t>9739427</t>
        </is>
      </c>
      <c r="B13" t="inlineStr">
        <is>
          <t>IT</t>
        </is>
      </c>
    </row>
    <row r="14">
      <c r="A14" t="inlineStr">
        <is>
          <t>9739415</t>
        </is>
      </c>
      <c r="B14" t="inlineStr">
        <is>
          <t>IT</t>
        </is>
      </c>
    </row>
    <row r="15">
      <c r="A15" t="inlineStr">
        <is>
          <t>9739415</t>
        </is>
      </c>
      <c r="B15" t="inlineStr">
        <is>
          <t>SS</t>
        </is>
      </c>
    </row>
    <row r="16">
      <c r="A16" t="inlineStr">
        <is>
          <t>9953694</t>
        </is>
      </c>
      <c r="B16" t="inlineStr">
        <is>
          <t>SS</t>
        </is>
      </c>
    </row>
    <row r="17">
      <c r="A17" t="inlineStr">
        <is>
          <t>10340145</t>
        </is>
      </c>
      <c r="B17" t="inlineStr">
        <is>
          <t>RMD</t>
        </is>
      </c>
    </row>
    <row r="18">
      <c r="A18" t="inlineStr">
        <is>
          <t>10340145</t>
        </is>
      </c>
      <c r="B18" t="inlineStr">
        <is>
          <t>IT</t>
        </is>
      </c>
    </row>
    <row r="19">
      <c r="A19" t="inlineStr">
        <is>
          <t>10340143</t>
        </is>
      </c>
      <c r="B19" t="inlineStr">
        <is>
          <t>MKT</t>
        </is>
      </c>
    </row>
    <row r="20">
      <c r="A20" t="inlineStr">
        <is>
          <t>10340143</t>
        </is>
      </c>
      <c r="B20" t="inlineStr">
        <is>
          <t>IT</t>
        </is>
      </c>
    </row>
    <row r="21">
      <c r="A21" t="inlineStr">
        <is>
          <t>10340127</t>
        </is>
      </c>
      <c r="B21" t="inlineStr">
        <is>
          <t>RS</t>
        </is>
      </c>
    </row>
    <row r="22">
      <c r="A22" t="inlineStr">
        <is>
          <t>10340127</t>
        </is>
      </c>
      <c r="B22" t="inlineStr">
        <is>
          <t>IT</t>
        </is>
      </c>
    </row>
    <row r="23">
      <c r="A23" t="inlineStr">
        <is>
          <t>10340024</t>
        </is>
      </c>
      <c r="B23" t="inlineStr">
        <is>
          <t>RS</t>
        </is>
      </c>
    </row>
    <row r="24">
      <c r="A24" t="inlineStr">
        <is>
          <t>10340024</t>
        </is>
      </c>
      <c r="B24" t="inlineStr">
        <is>
          <t>MKT</t>
        </is>
      </c>
    </row>
    <row r="25">
      <c r="A25" t="inlineStr">
        <is>
          <t>10340024</t>
        </is>
      </c>
      <c r="B25" t="inlineStr">
        <is>
          <t>CCC</t>
        </is>
      </c>
    </row>
    <row r="26">
      <c r="A26" t="inlineStr">
        <is>
          <t>10340021</t>
        </is>
      </c>
      <c r="B26" t="inlineStr">
        <is>
          <t>SS</t>
        </is>
      </c>
    </row>
    <row r="27">
      <c r="A27" t="inlineStr">
        <is>
          <t>10340021</t>
        </is>
      </c>
      <c r="B27" t="inlineStr">
        <is>
          <t>MKT</t>
        </is>
      </c>
    </row>
    <row r="28">
      <c r="A28" t="inlineStr">
        <is>
          <t>10340021</t>
        </is>
      </c>
      <c r="B28" t="inlineStr">
        <is>
          <t>IT</t>
        </is>
      </c>
    </row>
    <row r="29">
      <c r="A29" t="inlineStr">
        <is>
          <t>10340021</t>
        </is>
      </c>
      <c r="B29" t="inlineStr">
        <is>
          <t>CCC</t>
        </is>
      </c>
    </row>
    <row r="30">
      <c r="A30" t="inlineStr">
        <is>
          <t>10340020</t>
        </is>
      </c>
      <c r="B30" t="inlineStr">
        <is>
          <t>SS</t>
        </is>
      </c>
    </row>
    <row r="31">
      <c r="A31" t="inlineStr">
        <is>
          <t>10340020</t>
        </is>
      </c>
      <c r="B31" t="inlineStr">
        <is>
          <t>IT</t>
        </is>
      </c>
    </row>
    <row r="32">
      <c r="A32" t="inlineStr">
        <is>
          <t>10058431</t>
        </is>
      </c>
      <c r="B32" t="inlineStr">
        <is>
          <t>HR</t>
        </is>
      </c>
    </row>
    <row r="33">
      <c r="A33" t="inlineStr">
        <is>
          <t>10058431</t>
        </is>
      </c>
      <c r="B33" t="inlineStr">
        <is>
          <t>IT</t>
        </is>
      </c>
    </row>
    <row r="34">
      <c r="A34" t="inlineStr">
        <is>
          <t>9956873</t>
        </is>
      </c>
      <c r="B34" t="inlineStr">
        <is>
          <t>BMD</t>
        </is>
      </c>
    </row>
    <row r="35">
      <c r="A35" t="inlineStr">
        <is>
          <t>10059258</t>
        </is>
      </c>
      <c r="B35" t="inlineStr">
        <is>
          <t>SS</t>
        </is>
      </c>
    </row>
    <row r="36">
      <c r="A36" t="inlineStr">
        <is>
          <t>10059258</t>
        </is>
      </c>
      <c r="B36" t="inlineStr">
        <is>
          <t>MKT</t>
        </is>
      </c>
    </row>
    <row r="37">
      <c r="A37" t="inlineStr">
        <is>
          <t>10059258</t>
        </is>
      </c>
      <c r="B37" t="inlineStr">
        <is>
          <t>IT</t>
        </is>
      </c>
    </row>
    <row r="38">
      <c r="A38" t="inlineStr">
        <is>
          <t>10059258</t>
        </is>
      </c>
      <c r="B38" t="inlineStr">
        <is>
          <t>CCC</t>
        </is>
      </c>
    </row>
    <row r="39">
      <c r="A39" t="inlineStr">
        <is>
          <t>9956507</t>
        </is>
      </c>
      <c r="B39" t="inlineStr">
        <is>
          <t>IT</t>
        </is>
      </c>
    </row>
    <row r="40">
      <c r="A40" t="inlineStr">
        <is>
          <t>9956961</t>
        </is>
      </c>
      <c r="B40" t="inlineStr">
        <is>
          <t>MKT</t>
        </is>
      </c>
    </row>
    <row r="41">
      <c r="A41" t="inlineStr">
        <is>
          <t>9956961</t>
        </is>
      </c>
      <c r="B41" t="inlineStr">
        <is>
          <t>IT</t>
        </is>
      </c>
    </row>
    <row r="42">
      <c r="A42" t="inlineStr">
        <is>
          <t>10055837</t>
        </is>
      </c>
      <c r="B42" t="inlineStr">
        <is>
          <t>SS</t>
        </is>
      </c>
    </row>
    <row r="43">
      <c r="A43" t="inlineStr">
        <is>
          <t>9956498</t>
        </is>
      </c>
      <c r="B43" t="inlineStr">
        <is>
          <t>SS</t>
        </is>
      </c>
    </row>
    <row r="44">
      <c r="A44" t="inlineStr">
        <is>
          <t>9956498</t>
        </is>
      </c>
      <c r="B44" t="inlineStr">
        <is>
          <t>BMD</t>
        </is>
      </c>
    </row>
    <row r="45">
      <c r="A45" t="inlineStr">
        <is>
          <t>9956498</t>
        </is>
      </c>
      <c r="B45" t="inlineStr">
        <is>
          <t>FN</t>
        </is>
      </c>
    </row>
    <row r="46">
      <c r="A46" t="inlineStr">
        <is>
          <t>9956498</t>
        </is>
      </c>
      <c r="B46" t="inlineStr">
        <is>
          <t>IT</t>
        </is>
      </c>
    </row>
    <row r="47">
      <c r="A47" t="inlineStr">
        <is>
          <t>9956498</t>
        </is>
      </c>
      <c r="B47" t="inlineStr">
        <is>
          <t>MSD</t>
        </is>
      </c>
    </row>
    <row r="48">
      <c r="A48" t="inlineStr">
        <is>
          <t>9956496</t>
        </is>
      </c>
      <c r="B48" t="inlineStr">
        <is>
          <t>MKT</t>
        </is>
      </c>
    </row>
    <row r="49">
      <c r="A49" t="inlineStr">
        <is>
          <t>9956496</t>
        </is>
      </c>
      <c r="B49" t="inlineStr">
        <is>
          <t>IT</t>
        </is>
      </c>
    </row>
    <row r="50">
      <c r="A50" t="inlineStr">
        <is>
          <t>9956499</t>
        </is>
      </c>
      <c r="B50" t="inlineStr">
        <is>
          <t>RS</t>
        </is>
      </c>
    </row>
    <row r="51">
      <c r="A51" t="inlineStr">
        <is>
          <t>9956499</t>
        </is>
      </c>
      <c r="B51" t="inlineStr">
        <is>
          <t>IT</t>
        </is>
      </c>
    </row>
    <row r="52">
      <c r="A52" t="inlineStr">
        <is>
          <t>10334131</t>
        </is>
      </c>
      <c r="B52" t="inlineStr">
        <is>
          <t>IT</t>
        </is>
      </c>
    </row>
    <row r="53">
      <c r="A53" t="inlineStr">
        <is>
          <t>10334133</t>
        </is>
      </c>
      <c r="B53" t="inlineStr">
        <is>
          <t>IT</t>
        </is>
      </c>
    </row>
    <row r="54">
      <c r="A54" t="inlineStr">
        <is>
          <t>10209339</t>
        </is>
      </c>
      <c r="B54" t="inlineStr">
        <is>
          <t>IT</t>
        </is>
      </c>
    </row>
    <row r="55">
      <c r="A55" t="inlineStr">
        <is>
          <t>10334127</t>
        </is>
      </c>
      <c r="B55" t="inlineStr">
        <is>
          <t>IT</t>
        </is>
      </c>
    </row>
    <row r="56">
      <c r="A56" t="inlineStr">
        <is>
          <t>10334124</t>
        </is>
      </c>
      <c r="B56" t="inlineStr">
        <is>
          <t>IT</t>
        </is>
      </c>
    </row>
    <row r="57">
      <c r="A57" t="inlineStr">
        <is>
          <t>10209283</t>
        </is>
      </c>
      <c r="B57" t="inlineStr">
        <is>
          <t>IT</t>
        </is>
      </c>
    </row>
    <row r="58">
      <c r="A58" t="inlineStr">
        <is>
          <t>10334126</t>
        </is>
      </c>
      <c r="B58" t="inlineStr">
        <is>
          <t>IT</t>
        </is>
      </c>
    </row>
    <row r="59">
      <c r="A59" t="inlineStr">
        <is>
          <t>10209368</t>
        </is>
      </c>
      <c r="B59" t="inlineStr">
        <is>
          <t>IT</t>
        </is>
      </c>
    </row>
    <row r="60">
      <c r="A60" t="inlineStr">
        <is>
          <t>9953690</t>
        </is>
      </c>
      <c r="B60" t="inlineStr">
        <is>
          <t>SS</t>
        </is>
      </c>
    </row>
    <row r="61">
      <c r="A61" t="inlineStr">
        <is>
          <t>9739425</t>
        </is>
      </c>
      <c r="B61" t="inlineStr">
        <is>
          <t>IT</t>
        </is>
      </c>
    </row>
    <row r="62">
      <c r="A62" t="inlineStr">
        <is>
          <t>9739425</t>
        </is>
      </c>
      <c r="B62" t="inlineStr">
        <is>
          <t>SS</t>
        </is>
      </c>
    </row>
    <row r="63">
      <c r="A63" t="inlineStr">
        <is>
          <t>9953664</t>
        </is>
      </c>
      <c r="B63" t="inlineStr">
        <is>
          <t>SS</t>
        </is>
      </c>
    </row>
    <row r="64">
      <c r="A64" t="inlineStr">
        <is>
          <t>10334129</t>
        </is>
      </c>
      <c r="B64" t="inlineStr">
        <is>
          <t>IT</t>
        </is>
      </c>
    </row>
    <row r="65">
      <c r="A65" t="inlineStr">
        <is>
          <t>9739426</t>
        </is>
      </c>
      <c r="B65" t="inlineStr">
        <is>
          <t>IT</t>
        </is>
      </c>
    </row>
    <row r="66">
      <c r="A66" t="inlineStr">
        <is>
          <t>9739426</t>
        </is>
      </c>
      <c r="B66" t="inlineStr">
        <is>
          <t>SS</t>
        </is>
      </c>
    </row>
    <row r="67">
      <c r="A67" t="inlineStr">
        <is>
          <t>9953685</t>
        </is>
      </c>
      <c r="B67" t="inlineStr">
        <is>
          <t>SS</t>
        </is>
      </c>
    </row>
    <row r="68">
      <c r="A68" t="inlineStr">
        <is>
          <t>9953687</t>
        </is>
      </c>
      <c r="B68" t="inlineStr">
        <is>
          <t>SS</t>
        </is>
      </c>
    </row>
    <row r="69">
      <c r="A69" t="inlineStr">
        <is>
          <t>9953687</t>
        </is>
      </c>
      <c r="B69" t="inlineStr">
        <is>
          <t>LG</t>
        </is>
      </c>
    </row>
    <row r="70">
      <c r="A70" t="inlineStr">
        <is>
          <t>9953687</t>
        </is>
      </c>
      <c r="B70" t="inlineStr">
        <is>
          <t>IT</t>
        </is>
      </c>
    </row>
    <row r="71">
      <c r="A71" t="inlineStr">
        <is>
          <t>9953687</t>
        </is>
      </c>
      <c r="B71" t="inlineStr">
        <is>
          <t>CCC</t>
        </is>
      </c>
    </row>
    <row r="72">
      <c r="A72" t="inlineStr">
        <is>
          <t>9739412</t>
        </is>
      </c>
      <c r="B72" t="inlineStr">
        <is>
          <t>IT</t>
        </is>
      </c>
    </row>
    <row r="73">
      <c r="A73" t="inlineStr">
        <is>
          <t>10090302</t>
        </is>
      </c>
      <c r="B73" t="inlineStr">
        <is>
          <t>SS</t>
        </is>
      </c>
    </row>
    <row r="74">
      <c r="A74" t="inlineStr">
        <is>
          <t>10090240</t>
        </is>
      </c>
      <c r="B74" t="inlineStr">
        <is>
          <t>SS</t>
        </is>
      </c>
    </row>
    <row r="75">
      <c r="A75" t="inlineStr">
        <is>
          <t>10090247</t>
        </is>
      </c>
      <c r="B75" t="inlineStr">
        <is>
          <t>SS</t>
        </is>
      </c>
    </row>
    <row r="76">
      <c r="A76" t="inlineStr">
        <is>
          <t>10090287</t>
        </is>
      </c>
      <c r="B76" t="inlineStr">
        <is>
          <t>SS</t>
        </is>
      </c>
    </row>
    <row r="77">
      <c r="A77" t="inlineStr">
        <is>
          <t>10090263</t>
        </is>
      </c>
      <c r="B77" t="inlineStr">
        <is>
          <t>SS</t>
        </is>
      </c>
    </row>
    <row r="78">
      <c r="A78" t="inlineStr">
        <is>
          <t>10090209</t>
        </is>
      </c>
      <c r="B78" t="inlineStr">
        <is>
          <t>SS</t>
        </is>
      </c>
    </row>
    <row r="79">
      <c r="A79" t="inlineStr">
        <is>
          <t>10090204</t>
        </is>
      </c>
      <c r="B79" t="inlineStr">
        <is>
          <t>SS</t>
        </is>
      </c>
    </row>
    <row r="80">
      <c r="A80" t="inlineStr">
        <is>
          <t>10090258</t>
        </is>
      </c>
      <c r="B80" t="inlineStr">
        <is>
          <t>SS</t>
        </is>
      </c>
    </row>
    <row r="81">
      <c r="A81" t="inlineStr">
        <is>
          <t>10090289</t>
        </is>
      </c>
      <c r="B81" t="inlineStr">
        <is>
          <t>SS</t>
        </is>
      </c>
    </row>
    <row r="82">
      <c r="A82" t="inlineStr">
        <is>
          <t>10090283</t>
        </is>
      </c>
      <c r="B82" t="inlineStr">
        <is>
          <t>FN</t>
        </is>
      </c>
    </row>
    <row r="83">
      <c r="A83" t="inlineStr">
        <is>
          <t>9739429</t>
        </is>
      </c>
      <c r="B83" t="inlineStr">
        <is>
          <t>IT</t>
        </is>
      </c>
    </row>
    <row r="84">
      <c r="A84" t="inlineStr">
        <is>
          <t>9953652</t>
        </is>
      </c>
      <c r="B84" t="inlineStr">
        <is>
          <t>SS</t>
        </is>
      </c>
    </row>
    <row r="85">
      <c r="A85" t="inlineStr">
        <is>
          <t>9739428</t>
        </is>
      </c>
      <c r="B85" t="inlineStr">
        <is>
          <t>IT</t>
        </is>
      </c>
    </row>
    <row r="86">
      <c r="A86" t="inlineStr">
        <is>
          <t>9739428</t>
        </is>
      </c>
      <c r="B86" t="inlineStr">
        <is>
          <t>SS</t>
        </is>
      </c>
    </row>
    <row r="87">
      <c r="A87" t="inlineStr">
        <is>
          <t>9931785</t>
        </is>
      </c>
      <c r="B87" t="inlineStr">
        <is>
          <t>SS</t>
        </is>
      </c>
    </row>
    <row r="88">
      <c r="A88" t="inlineStr">
        <is>
          <t>9931785</t>
        </is>
      </c>
      <c r="B88" t="inlineStr">
        <is>
          <t>IC</t>
        </is>
      </c>
    </row>
    <row r="89">
      <c r="A89" t="inlineStr">
        <is>
          <t>9931785</t>
        </is>
      </c>
      <c r="B89" t="inlineStr">
        <is>
          <t>MSD</t>
        </is>
      </c>
    </row>
    <row r="90">
      <c r="A90" t="inlineStr">
        <is>
          <t>10007137</t>
        </is>
      </c>
      <c r="B90" t="inlineStr">
        <is>
          <t>IT</t>
        </is>
      </c>
    </row>
    <row r="91">
      <c r="A91" t="inlineStr">
        <is>
          <t>9739424</t>
        </is>
      </c>
      <c r="B91" t="inlineStr">
        <is>
          <t>IT</t>
        </is>
      </c>
    </row>
    <row r="92">
      <c r="A92" t="inlineStr">
        <is>
          <t>9739423</t>
        </is>
      </c>
      <c r="B92" t="inlineStr">
        <is>
          <t>IT</t>
        </is>
      </c>
    </row>
    <row r="93">
      <c r="A93" t="inlineStr">
        <is>
          <t>9739423</t>
        </is>
      </c>
      <c r="B93" t="inlineStr">
        <is>
          <t>SS</t>
        </is>
      </c>
    </row>
    <row r="94">
      <c r="A94" t="inlineStr">
        <is>
          <t>9739422</t>
        </is>
      </c>
      <c r="B94" t="inlineStr">
        <is>
          <t>IT</t>
        </is>
      </c>
    </row>
    <row r="95">
      <c r="A95" t="inlineStr">
        <is>
          <t>9739420</t>
        </is>
      </c>
      <c r="B95" t="inlineStr">
        <is>
          <t>IT</t>
        </is>
      </c>
    </row>
    <row r="96">
      <c r="A96" t="inlineStr">
        <is>
          <t>9739420</t>
        </is>
      </c>
      <c r="B96" t="inlineStr">
        <is>
          <t>SS</t>
        </is>
      </c>
    </row>
    <row r="97">
      <c r="A97" t="inlineStr">
        <is>
          <t>9739418</t>
        </is>
      </c>
      <c r="B97" t="inlineStr">
        <is>
          <t>IT</t>
        </is>
      </c>
    </row>
    <row r="98">
      <c r="A98" t="inlineStr">
        <is>
          <t>9739416</t>
        </is>
      </c>
      <c r="B98" t="inlineStr">
        <is>
          <t>IT</t>
        </is>
      </c>
    </row>
    <row r="99">
      <c r="A99" t="inlineStr">
        <is>
          <t>9739417</t>
        </is>
      </c>
      <c r="B99" t="inlineStr">
        <is>
          <t>IT</t>
        </is>
      </c>
    </row>
    <row r="100">
      <c r="A100" t="inlineStr">
        <is>
          <t>9739421</t>
        </is>
      </c>
      <c r="B100" t="inlineStr">
        <is>
          <t>IT</t>
        </is>
      </c>
    </row>
    <row r="101">
      <c r="A101" t="inlineStr">
        <is>
          <t>9739413</t>
        </is>
      </c>
      <c r="B101" t="inlineStr">
        <is>
          <t>IT</t>
        </is>
      </c>
    </row>
    <row r="102">
      <c r="A102" t="inlineStr">
        <is>
          <t>9739413</t>
        </is>
      </c>
      <c r="B102" t="inlineStr">
        <is>
          <t>SS</t>
        </is>
      </c>
    </row>
    <row r="103">
      <c r="A103" t="inlineStr">
        <is>
          <t>9739430</t>
        </is>
      </c>
      <c r="B103" t="inlineStr">
        <is>
          <t>SS</t>
        </is>
      </c>
    </row>
    <row r="104">
      <c r="A104" t="inlineStr">
        <is>
          <t>9739430</t>
        </is>
      </c>
      <c r="B104" t="inlineStr">
        <is>
          <t>CCC</t>
        </is>
      </c>
    </row>
    <row r="105">
      <c r="A105" t="inlineStr">
        <is>
          <t>9739430</t>
        </is>
      </c>
      <c r="B105" t="inlineStr">
        <is>
          <t>MKT</t>
        </is>
      </c>
    </row>
    <row r="106">
      <c r="A106" t="inlineStr">
        <is>
          <t>9739431</t>
        </is>
      </c>
      <c r="B106" t="inlineStr">
        <is>
          <t>IT</t>
        </is>
      </c>
    </row>
    <row r="107">
      <c r="A107" t="inlineStr">
        <is>
          <t>9739431</t>
        </is>
      </c>
      <c r="B107" t="inlineStr">
        <is>
          <t>SS</t>
        </is>
      </c>
    </row>
    <row r="108">
      <c r="A108" t="inlineStr">
        <is>
          <t>9739431</t>
        </is>
      </c>
      <c r="B108" t="inlineStr">
        <is>
          <t>FN</t>
        </is>
      </c>
    </row>
    <row r="109">
      <c r="A109" t="inlineStr">
        <is>
          <t>9739432</t>
        </is>
      </c>
      <c r="B109" t="inlineStr">
        <is>
          <t>IT</t>
        </is>
      </c>
    </row>
    <row r="110">
      <c r="A110" t="inlineStr">
        <is>
          <t>9739433</t>
        </is>
      </c>
      <c r="B110" t="inlineStr">
        <is>
          <t>IT</t>
        </is>
      </c>
    </row>
    <row r="111">
      <c r="A111" t="inlineStr">
        <is>
          <t>9739433</t>
        </is>
      </c>
      <c r="B111" t="inlineStr">
        <is>
          <t>SS</t>
        </is>
      </c>
    </row>
    <row r="112">
      <c r="A112" t="inlineStr">
        <is>
          <t>9739433</t>
        </is>
      </c>
      <c r="B112" t="inlineStr">
        <is>
          <t>HR</t>
        </is>
      </c>
    </row>
    <row r="113">
      <c r="A113" t="inlineStr">
        <is>
          <t>9739433</t>
        </is>
      </c>
      <c r="B113" t="inlineStr">
        <is>
          <t>BMD</t>
        </is>
      </c>
    </row>
    <row r="114">
      <c r="A114" t="inlineStr">
        <is>
          <t>9739434</t>
        </is>
      </c>
      <c r="B114" t="inlineStr">
        <is>
          <t>IT</t>
        </is>
      </c>
    </row>
    <row r="115">
      <c r="A115" t="inlineStr">
        <is>
          <t>9739434</t>
        </is>
      </c>
      <c r="B115" t="inlineStr">
        <is>
          <t>SS</t>
        </is>
      </c>
    </row>
    <row r="116">
      <c r="A116" t="inlineStr">
        <is>
          <t>9739434</t>
        </is>
      </c>
      <c r="B116" t="inlineStr">
        <is>
          <t>FN</t>
        </is>
      </c>
    </row>
    <row r="117">
      <c r="A117" t="inlineStr">
        <is>
          <t>9739435</t>
        </is>
      </c>
      <c r="B117" t="inlineStr">
        <is>
          <t>IT</t>
        </is>
      </c>
    </row>
    <row r="118">
      <c r="A118" t="inlineStr">
        <is>
          <t>9739436</t>
        </is>
      </c>
      <c r="B118" t="inlineStr">
        <is>
          <t>SS</t>
        </is>
      </c>
    </row>
    <row r="119">
      <c r="A119" t="inlineStr">
        <is>
          <t>9739106</t>
        </is>
      </c>
      <c r="B119" t="inlineStr">
        <is>
          <t>CCC</t>
        </is>
      </c>
    </row>
    <row r="120">
      <c r="A120" t="inlineStr">
        <is>
          <t>9739108</t>
        </is>
      </c>
      <c r="B120" t="inlineStr">
        <is>
          <t>IT</t>
        </is>
      </c>
    </row>
    <row r="121">
      <c r="A121" t="inlineStr">
        <is>
          <t>9739108</t>
        </is>
      </c>
      <c r="B121" t="inlineStr">
        <is>
          <t>MSD</t>
        </is>
      </c>
    </row>
    <row r="122">
      <c r="A122" t="inlineStr">
        <is>
          <t>9739105</t>
        </is>
      </c>
      <c r="B122" t="inlineStr">
        <is>
          <t>IT</t>
        </is>
      </c>
    </row>
    <row r="123">
      <c r="A123" t="inlineStr">
        <is>
          <t>9739105</t>
        </is>
      </c>
      <c r="B123" t="inlineStr">
        <is>
          <t>MSD</t>
        </is>
      </c>
    </row>
    <row r="124">
      <c r="A124" t="inlineStr">
        <is>
          <t>9744376</t>
        </is>
      </c>
      <c r="B124" t="inlineStr">
        <is>
          <t>IT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9"/>
  <sheetViews>
    <sheetView workbookViewId="0">
      <pane ySplit="1" topLeftCell="A2" activePane="bottomLeft" state="frozen"/>
      <selection pane="bottomLeft" activeCell="A1" sqref="A1"/>
    </sheetView>
  </sheetViews>
  <sheetFormatPr baseColWidth="8" defaultRowHeight="15"/>
  <sheetData>
    <row r="1">
      <c r="A1" s="26" t="inlineStr">
        <is>
          <t>task_id</t>
        </is>
      </c>
      <c r="B1" s="26" t="inlineStr">
        <is>
          <t>platform</t>
        </is>
      </c>
    </row>
    <row r="2">
      <c r="A2" t="inlineStr">
        <is>
          <t>10274446</t>
        </is>
      </c>
      <c r="B2" t="inlineStr">
        <is>
          <t>Broker Portal</t>
        </is>
      </c>
    </row>
    <row r="3">
      <c r="A3" t="inlineStr">
        <is>
          <t>10223433</t>
        </is>
      </c>
      <c r="B3" t="inlineStr">
        <is>
          <t>Elite App</t>
        </is>
      </c>
    </row>
    <row r="4">
      <c r="A4" t="inlineStr">
        <is>
          <t>10223433</t>
        </is>
      </c>
      <c r="B4" t="inlineStr">
        <is>
          <t>Customer Portal</t>
        </is>
      </c>
    </row>
    <row r="5">
      <c r="A5" t="inlineStr">
        <is>
          <t>10055830</t>
        </is>
      </c>
      <c r="B5" t="inlineStr">
        <is>
          <t>Broker Portal</t>
        </is>
      </c>
    </row>
    <row r="6">
      <c r="A6" t="inlineStr">
        <is>
          <t>9739419</t>
        </is>
      </c>
      <c r="B6" t="inlineStr">
        <is>
          <t>Elite App</t>
        </is>
      </c>
    </row>
    <row r="7">
      <c r="A7" t="inlineStr">
        <is>
          <t>9739414</t>
        </is>
      </c>
      <c r="B7" t="inlineStr">
        <is>
          <t>Elite App</t>
        </is>
      </c>
    </row>
    <row r="8">
      <c r="A8" t="inlineStr">
        <is>
          <t>9739427</t>
        </is>
      </c>
      <c r="B8" t="inlineStr">
        <is>
          <t>Elite App</t>
        </is>
      </c>
    </row>
    <row r="9">
      <c r="A9" t="inlineStr">
        <is>
          <t>9739415</t>
        </is>
      </c>
      <c r="B9" t="inlineStr">
        <is>
          <t>Elite App</t>
        </is>
      </c>
    </row>
    <row r="10">
      <c r="A10" t="inlineStr">
        <is>
          <t>9953694</t>
        </is>
      </c>
      <c r="B10" t="inlineStr">
        <is>
          <t>Elite App</t>
        </is>
      </c>
    </row>
    <row r="11">
      <c r="A11" t="inlineStr">
        <is>
          <t>10340145</t>
        </is>
      </c>
      <c r="B11" t="inlineStr">
        <is>
          <t>Customer Portal</t>
        </is>
      </c>
    </row>
    <row r="12">
      <c r="A12" t="inlineStr">
        <is>
          <t>10340143</t>
        </is>
      </c>
      <c r="B12" t="inlineStr">
        <is>
          <t>Elite App</t>
        </is>
      </c>
    </row>
    <row r="13">
      <c r="A13" t="inlineStr">
        <is>
          <t>10340143</t>
        </is>
      </c>
      <c r="B13" t="inlineStr">
        <is>
          <t>Customer Portal</t>
        </is>
      </c>
    </row>
    <row r="14">
      <c r="A14" t="inlineStr">
        <is>
          <t>10340127</t>
        </is>
      </c>
      <c r="B14" t="inlineStr">
        <is>
          <t>Research Portal</t>
        </is>
      </c>
    </row>
    <row r="15">
      <c r="A15" t="inlineStr">
        <is>
          <t>10340024</t>
        </is>
      </c>
      <c r="B15" t="inlineStr">
        <is>
          <t>PHS Website</t>
        </is>
      </c>
    </row>
    <row r="16">
      <c r="A16" t="inlineStr">
        <is>
          <t>10340020</t>
        </is>
      </c>
      <c r="B16" t="inlineStr">
        <is>
          <t>Customer Portal</t>
        </is>
      </c>
    </row>
    <row r="17">
      <c r="A17" t="inlineStr">
        <is>
          <t>10058431</t>
        </is>
      </c>
      <c r="B17" t="inlineStr">
        <is>
          <t>Broker Portal</t>
        </is>
      </c>
    </row>
    <row r="18">
      <c r="A18" t="inlineStr">
        <is>
          <t>9956873</t>
        </is>
      </c>
      <c r="B18" t="inlineStr">
        <is>
          <t>Broker Portal</t>
        </is>
      </c>
    </row>
    <row r="19">
      <c r="A19" t="inlineStr">
        <is>
          <t>9956507</t>
        </is>
      </c>
      <c r="B19" t="inlineStr">
        <is>
          <t>Elite App</t>
        </is>
      </c>
    </row>
    <row r="20">
      <c r="A20" t="inlineStr">
        <is>
          <t>9956507</t>
        </is>
      </c>
      <c r="B20" t="inlineStr">
        <is>
          <t>Customer Portal</t>
        </is>
      </c>
    </row>
    <row r="21">
      <c r="A21" t="inlineStr">
        <is>
          <t>9956961</t>
        </is>
      </c>
      <c r="B21" t="inlineStr">
        <is>
          <t>Elite App</t>
        </is>
      </c>
    </row>
    <row r="22">
      <c r="A22" t="inlineStr">
        <is>
          <t>9956961</t>
        </is>
      </c>
      <c r="B22" t="inlineStr">
        <is>
          <t>Customer Portal</t>
        </is>
      </c>
    </row>
    <row r="23">
      <c r="A23" t="inlineStr">
        <is>
          <t>10055837</t>
        </is>
      </c>
      <c r="B23" t="inlineStr">
        <is>
          <t>Customer Portal</t>
        </is>
      </c>
    </row>
    <row r="24">
      <c r="A24" t="inlineStr">
        <is>
          <t>9956498</t>
        </is>
      </c>
      <c r="B24" t="inlineStr">
        <is>
          <t>Fund</t>
        </is>
      </c>
    </row>
    <row r="25">
      <c r="A25" t="inlineStr">
        <is>
          <t>9956496</t>
        </is>
      </c>
      <c r="B25" t="inlineStr">
        <is>
          <t>PHS Website</t>
        </is>
      </c>
    </row>
    <row r="26">
      <c r="A26" t="inlineStr">
        <is>
          <t>9956499</t>
        </is>
      </c>
      <c r="B26" t="inlineStr">
        <is>
          <t>Research Portal</t>
        </is>
      </c>
    </row>
    <row r="27">
      <c r="A27" t="inlineStr">
        <is>
          <t>10334131</t>
        </is>
      </c>
      <c r="B27" t="inlineStr">
        <is>
          <t>Elite App</t>
        </is>
      </c>
    </row>
    <row r="28">
      <c r="A28" t="inlineStr">
        <is>
          <t>10334131</t>
        </is>
      </c>
      <c r="B28" t="inlineStr">
        <is>
          <t>Xpro</t>
        </is>
      </c>
    </row>
    <row r="29">
      <c r="A29" t="inlineStr">
        <is>
          <t>10334133</t>
        </is>
      </c>
      <c r="B29" t="inlineStr">
        <is>
          <t>Elite App</t>
        </is>
      </c>
    </row>
    <row r="30">
      <c r="A30" t="inlineStr">
        <is>
          <t>10334133</t>
        </is>
      </c>
      <c r="B30" t="inlineStr">
        <is>
          <t>Xpro</t>
        </is>
      </c>
    </row>
    <row r="31">
      <c r="A31" t="inlineStr">
        <is>
          <t>10209339</t>
        </is>
      </c>
      <c r="B31" t="inlineStr">
        <is>
          <t>Elite App</t>
        </is>
      </c>
    </row>
    <row r="32">
      <c r="A32" t="inlineStr">
        <is>
          <t>10334127</t>
        </is>
      </c>
      <c r="B32" t="inlineStr">
        <is>
          <t>Elite App</t>
        </is>
      </c>
    </row>
    <row r="33">
      <c r="A33" t="inlineStr">
        <is>
          <t>10334124</t>
        </is>
      </c>
      <c r="B33" t="inlineStr">
        <is>
          <t>Elite App</t>
        </is>
      </c>
    </row>
    <row r="34">
      <c r="A34" t="inlineStr">
        <is>
          <t>10209283</t>
        </is>
      </c>
      <c r="B34" t="inlineStr">
        <is>
          <t>Elite App</t>
        </is>
      </c>
    </row>
    <row r="35">
      <c r="A35" t="inlineStr">
        <is>
          <t>10334126</t>
        </is>
      </c>
      <c r="B35" t="inlineStr">
        <is>
          <t>Elite App</t>
        </is>
      </c>
    </row>
    <row r="36">
      <c r="A36" t="inlineStr">
        <is>
          <t>10209368</t>
        </is>
      </c>
      <c r="B36" t="inlineStr">
        <is>
          <t>Elite App</t>
        </is>
      </c>
    </row>
    <row r="37">
      <c r="A37" t="inlineStr">
        <is>
          <t>9953690</t>
        </is>
      </c>
      <c r="B37" t="inlineStr">
        <is>
          <t>Elite App</t>
        </is>
      </c>
    </row>
    <row r="38">
      <c r="A38" t="inlineStr">
        <is>
          <t>9739425</t>
        </is>
      </c>
      <c r="B38" t="inlineStr">
        <is>
          <t>Elite App</t>
        </is>
      </c>
    </row>
    <row r="39">
      <c r="A39" t="inlineStr">
        <is>
          <t>9953664</t>
        </is>
      </c>
      <c r="B39" t="inlineStr">
        <is>
          <t>Elite App</t>
        </is>
      </c>
    </row>
    <row r="40">
      <c r="A40" t="inlineStr">
        <is>
          <t>10334129</t>
        </is>
      </c>
      <c r="B40" t="inlineStr">
        <is>
          <t>Elite App</t>
        </is>
      </c>
    </row>
    <row r="41">
      <c r="A41" t="inlineStr">
        <is>
          <t>10334129</t>
        </is>
      </c>
      <c r="B41" t="inlineStr">
        <is>
          <t>Xpro</t>
        </is>
      </c>
    </row>
    <row r="42">
      <c r="A42" t="inlineStr">
        <is>
          <t>9739426</t>
        </is>
      </c>
      <c r="B42" t="inlineStr">
        <is>
          <t>Elite App</t>
        </is>
      </c>
    </row>
    <row r="43">
      <c r="A43" t="inlineStr">
        <is>
          <t>9953685</t>
        </is>
      </c>
      <c r="B43" t="inlineStr">
        <is>
          <t>Elite App</t>
        </is>
      </c>
    </row>
    <row r="44">
      <c r="A44" t="inlineStr">
        <is>
          <t>9953687</t>
        </is>
      </c>
      <c r="B44" t="inlineStr">
        <is>
          <t>Elite App</t>
        </is>
      </c>
    </row>
    <row r="45">
      <c r="A45" t="inlineStr">
        <is>
          <t>9739412</t>
        </is>
      </c>
      <c r="B45" t="inlineStr">
        <is>
          <t>Elite App</t>
        </is>
      </c>
    </row>
    <row r="46">
      <c r="A46" t="inlineStr">
        <is>
          <t>10217565</t>
        </is>
      </c>
      <c r="B46" t="inlineStr">
        <is>
          <t>Flex</t>
        </is>
      </c>
    </row>
    <row r="47">
      <c r="A47" t="inlineStr">
        <is>
          <t>10090312</t>
        </is>
      </c>
      <c r="B47" t="inlineStr">
        <is>
          <t>Elite App</t>
        </is>
      </c>
    </row>
    <row r="48">
      <c r="A48" t="inlineStr">
        <is>
          <t>10090329</t>
        </is>
      </c>
      <c r="B48" t="inlineStr">
        <is>
          <t>Flex</t>
        </is>
      </c>
    </row>
    <row r="49">
      <c r="A49" t="inlineStr">
        <is>
          <t>10090302</t>
        </is>
      </c>
      <c r="B49" t="inlineStr">
        <is>
          <t>App-MW</t>
        </is>
      </c>
    </row>
    <row r="50">
      <c r="A50" t="inlineStr">
        <is>
          <t>10090343</t>
        </is>
      </c>
      <c r="B50" t="inlineStr">
        <is>
          <t>Elite App</t>
        </is>
      </c>
    </row>
    <row r="51">
      <c r="A51" t="inlineStr">
        <is>
          <t>10090240</t>
        </is>
      </c>
      <c r="B51" t="inlineStr">
        <is>
          <t>Elite App</t>
        </is>
      </c>
    </row>
    <row r="52">
      <c r="A52" t="inlineStr">
        <is>
          <t>10090247</t>
        </is>
      </c>
      <c r="B52" t="inlineStr">
        <is>
          <t>Elite App</t>
        </is>
      </c>
    </row>
    <row r="53">
      <c r="A53" t="inlineStr">
        <is>
          <t>10090293</t>
        </is>
      </c>
      <c r="B53" t="inlineStr">
        <is>
          <t>Elite App</t>
        </is>
      </c>
    </row>
    <row r="54">
      <c r="A54" t="inlineStr">
        <is>
          <t>10090287</t>
        </is>
      </c>
      <c r="B54" t="inlineStr">
        <is>
          <t>Elite App</t>
        </is>
      </c>
    </row>
    <row r="55">
      <c r="A55" t="inlineStr">
        <is>
          <t>10090287</t>
        </is>
      </c>
      <c r="B55" t="inlineStr">
        <is>
          <t>Customer Portal</t>
        </is>
      </c>
    </row>
    <row r="56">
      <c r="A56" t="inlineStr">
        <is>
          <t>10090263</t>
        </is>
      </c>
      <c r="B56" t="inlineStr">
        <is>
          <t>Elite App</t>
        </is>
      </c>
    </row>
    <row r="57">
      <c r="A57" t="inlineStr">
        <is>
          <t>10090209</t>
        </is>
      </c>
      <c r="B57" t="inlineStr">
        <is>
          <t>App-MW</t>
        </is>
      </c>
    </row>
    <row r="58">
      <c r="A58" t="inlineStr">
        <is>
          <t>10090204</t>
        </is>
      </c>
      <c r="B58" t="inlineStr">
        <is>
          <t>Elite App</t>
        </is>
      </c>
    </row>
    <row r="59">
      <c r="A59" t="inlineStr">
        <is>
          <t>10090258</t>
        </is>
      </c>
      <c r="B59" t="inlineStr">
        <is>
          <t>Xpro</t>
        </is>
      </c>
    </row>
    <row r="60">
      <c r="A60" t="inlineStr">
        <is>
          <t>10090289</t>
        </is>
      </c>
      <c r="B60" t="inlineStr">
        <is>
          <t>Elite App</t>
        </is>
      </c>
    </row>
    <row r="61">
      <c r="A61" t="inlineStr">
        <is>
          <t>10090283</t>
        </is>
      </c>
      <c r="B61" t="inlineStr">
        <is>
          <t>Elite App</t>
        </is>
      </c>
    </row>
    <row r="62">
      <c r="A62" t="inlineStr">
        <is>
          <t>9739429</t>
        </is>
      </c>
      <c r="B62" t="inlineStr">
        <is>
          <t>Elite App</t>
        </is>
      </c>
    </row>
    <row r="63">
      <c r="A63" t="inlineStr">
        <is>
          <t>9953652</t>
        </is>
      </c>
      <c r="B63" t="inlineStr">
        <is>
          <t>Elite App</t>
        </is>
      </c>
    </row>
    <row r="64">
      <c r="A64" t="inlineStr">
        <is>
          <t>9953677</t>
        </is>
      </c>
      <c r="B64" t="inlineStr">
        <is>
          <t>Elite App</t>
        </is>
      </c>
    </row>
    <row r="65">
      <c r="A65" t="inlineStr">
        <is>
          <t>9739428</t>
        </is>
      </c>
      <c r="B65" t="inlineStr">
        <is>
          <t>Elite App</t>
        </is>
      </c>
    </row>
    <row r="66">
      <c r="A66" t="inlineStr">
        <is>
          <t>9931785</t>
        </is>
      </c>
      <c r="B66" t="inlineStr">
        <is>
          <t>Elite App</t>
        </is>
      </c>
    </row>
    <row r="67">
      <c r="A67" t="inlineStr">
        <is>
          <t>9931785</t>
        </is>
      </c>
      <c r="B67" t="inlineStr">
        <is>
          <t>Xpro</t>
        </is>
      </c>
    </row>
    <row r="68">
      <c r="A68" t="inlineStr">
        <is>
          <t>10007137</t>
        </is>
      </c>
      <c r="B68" t="inlineStr">
        <is>
          <t>Elite App</t>
        </is>
      </c>
    </row>
    <row r="69">
      <c r="A69" t="inlineStr">
        <is>
          <t>9739424</t>
        </is>
      </c>
      <c r="B69" t="inlineStr">
        <is>
          <t>Elite App</t>
        </is>
      </c>
    </row>
    <row r="70">
      <c r="A70" t="inlineStr">
        <is>
          <t>9931751</t>
        </is>
      </c>
      <c r="B70" t="inlineStr">
        <is>
          <t>Elite App</t>
        </is>
      </c>
    </row>
    <row r="71">
      <c r="A71" t="inlineStr">
        <is>
          <t>9739423</t>
        </is>
      </c>
      <c r="B71" t="inlineStr">
        <is>
          <t>Elite App</t>
        </is>
      </c>
    </row>
    <row r="72">
      <c r="A72" t="inlineStr">
        <is>
          <t>9739422</t>
        </is>
      </c>
      <c r="B72" t="inlineStr">
        <is>
          <t>Elite App</t>
        </is>
      </c>
    </row>
    <row r="73">
      <c r="A73" t="inlineStr">
        <is>
          <t>9739420</t>
        </is>
      </c>
      <c r="B73" t="inlineStr">
        <is>
          <t>Elite App</t>
        </is>
      </c>
    </row>
    <row r="74">
      <c r="A74" t="inlineStr">
        <is>
          <t>9739418</t>
        </is>
      </c>
      <c r="B74" t="inlineStr">
        <is>
          <t>Elite App</t>
        </is>
      </c>
    </row>
    <row r="75">
      <c r="A75" t="inlineStr">
        <is>
          <t>9739416</t>
        </is>
      </c>
      <c r="B75" t="inlineStr">
        <is>
          <t>Elite App</t>
        </is>
      </c>
    </row>
    <row r="76">
      <c r="A76" t="inlineStr">
        <is>
          <t>9739417</t>
        </is>
      </c>
      <c r="B76" t="inlineStr">
        <is>
          <t>Elite App</t>
        </is>
      </c>
    </row>
    <row r="77">
      <c r="A77" t="inlineStr">
        <is>
          <t>9739421</t>
        </is>
      </c>
      <c r="B77" t="inlineStr">
        <is>
          <t>Elite App</t>
        </is>
      </c>
    </row>
    <row r="78">
      <c r="A78" t="inlineStr">
        <is>
          <t>9739413</t>
        </is>
      </c>
      <c r="B78" t="inlineStr">
        <is>
          <t>Elite App</t>
        </is>
      </c>
    </row>
    <row r="79">
      <c r="A79" t="inlineStr">
        <is>
          <t>9739430</t>
        </is>
      </c>
      <c r="B79" t="inlineStr">
        <is>
          <t>Elite App</t>
        </is>
      </c>
    </row>
    <row r="80">
      <c r="A80" t="inlineStr">
        <is>
          <t>9739431</t>
        </is>
      </c>
      <c r="B80" t="inlineStr">
        <is>
          <t>Elite App</t>
        </is>
      </c>
    </row>
    <row r="81">
      <c r="A81" t="inlineStr">
        <is>
          <t>9739432</t>
        </is>
      </c>
      <c r="B81" t="inlineStr">
        <is>
          <t>Elite App</t>
        </is>
      </c>
    </row>
    <row r="82">
      <c r="A82" t="inlineStr">
        <is>
          <t>9739433</t>
        </is>
      </c>
      <c r="B82" t="inlineStr">
        <is>
          <t>Elite App</t>
        </is>
      </c>
    </row>
    <row r="83">
      <c r="A83" t="inlineStr">
        <is>
          <t>9739434</t>
        </is>
      </c>
      <c r="B83" t="inlineStr">
        <is>
          <t>Elite App</t>
        </is>
      </c>
    </row>
    <row r="84">
      <c r="A84" t="inlineStr">
        <is>
          <t>9739435</t>
        </is>
      </c>
      <c r="B84" t="inlineStr">
        <is>
          <t>Elite App</t>
        </is>
      </c>
    </row>
    <row r="85">
      <c r="A85" t="inlineStr">
        <is>
          <t>9739436</t>
        </is>
      </c>
      <c r="B85" t="inlineStr">
        <is>
          <t>Elite App</t>
        </is>
      </c>
    </row>
    <row r="86">
      <c r="A86" t="inlineStr">
        <is>
          <t>9739106</t>
        </is>
      </c>
      <c r="B86" t="inlineStr">
        <is>
          <t>Customer Portal</t>
        </is>
      </c>
    </row>
    <row r="87">
      <c r="A87" t="inlineStr">
        <is>
          <t>9739108</t>
        </is>
      </c>
      <c r="B87" t="inlineStr">
        <is>
          <t>Customer Portal</t>
        </is>
      </c>
    </row>
    <row r="88">
      <c r="A88" t="inlineStr">
        <is>
          <t>9739105</t>
        </is>
      </c>
      <c r="B88" t="inlineStr">
        <is>
          <t>Customer Portal</t>
        </is>
      </c>
    </row>
    <row r="89">
      <c r="A89" t="inlineStr">
        <is>
          <t>9744376</t>
        </is>
      </c>
      <c r="B89" t="inlineStr">
        <is>
          <t>Broker Portal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2"/>
  <sheetViews>
    <sheetView workbookViewId="0">
      <pane ySplit="1" topLeftCell="A2" activePane="bottomLeft" state="frozen"/>
      <selection pane="bottomLeft" activeCell="A1" sqref="A1"/>
    </sheetView>
  </sheetViews>
  <sheetFormatPr baseColWidth="8" defaultRowHeight="15"/>
  <sheetData>
    <row r="1">
      <c r="A1" s="26" t="inlineStr">
        <is>
          <t>task_id</t>
        </is>
      </c>
      <c r="B1" s="26" t="inlineStr">
        <is>
          <t>devunit</t>
        </is>
      </c>
    </row>
    <row r="2">
      <c r="A2" t="inlineStr">
        <is>
          <t>10274446</t>
        </is>
      </c>
      <c r="B2" t="inlineStr">
        <is>
          <t>Web B</t>
        </is>
      </c>
    </row>
    <row r="3">
      <c r="A3" t="inlineStr">
        <is>
          <t>10223433</t>
        </is>
      </c>
      <c r="B3" t="inlineStr">
        <is>
          <t>FTL</t>
        </is>
      </c>
    </row>
    <row r="4">
      <c r="A4" t="inlineStr">
        <is>
          <t>10223433</t>
        </is>
      </c>
      <c r="B4" t="inlineStr">
        <is>
          <t>Mobile</t>
        </is>
      </c>
    </row>
    <row r="5">
      <c r="A5" t="inlineStr">
        <is>
          <t>10223433</t>
        </is>
      </c>
      <c r="B5" t="inlineStr">
        <is>
          <t>Web B</t>
        </is>
      </c>
    </row>
    <row r="6">
      <c r="A6" t="inlineStr">
        <is>
          <t>10055830</t>
        </is>
      </c>
      <c r="B6" t="inlineStr">
        <is>
          <t>MW</t>
        </is>
      </c>
    </row>
    <row r="7">
      <c r="A7" t="inlineStr">
        <is>
          <t>10055830</t>
        </is>
      </c>
      <c r="B7" t="inlineStr">
        <is>
          <t>Web B</t>
        </is>
      </c>
    </row>
    <row r="8">
      <c r="A8" t="inlineStr">
        <is>
          <t>9739419</t>
        </is>
      </c>
      <c r="B8" t="inlineStr">
        <is>
          <t>FTL</t>
        </is>
      </c>
    </row>
    <row r="9">
      <c r="A9" t="inlineStr">
        <is>
          <t>9739419</t>
        </is>
      </c>
      <c r="B9" t="inlineStr">
        <is>
          <t>FSS</t>
        </is>
      </c>
    </row>
    <row r="10">
      <c r="A10" t="inlineStr">
        <is>
          <t>9739419</t>
        </is>
      </c>
      <c r="B10" t="inlineStr">
        <is>
          <t>MW</t>
        </is>
      </c>
    </row>
    <row r="11">
      <c r="A11" t="inlineStr">
        <is>
          <t>9739419</t>
        </is>
      </c>
      <c r="B11" t="inlineStr">
        <is>
          <t>Mobile</t>
        </is>
      </c>
    </row>
    <row r="12">
      <c r="A12" t="inlineStr">
        <is>
          <t>9739419</t>
        </is>
      </c>
      <c r="B12" t="inlineStr">
        <is>
          <t>Web B</t>
        </is>
      </c>
    </row>
    <row r="13">
      <c r="A13" t="inlineStr">
        <is>
          <t>9739427</t>
        </is>
      </c>
      <c r="B13" t="inlineStr">
        <is>
          <t>FTL</t>
        </is>
      </c>
    </row>
    <row r="14">
      <c r="A14" t="inlineStr">
        <is>
          <t>9739427</t>
        </is>
      </c>
      <c r="B14" t="inlineStr">
        <is>
          <t>FSS</t>
        </is>
      </c>
    </row>
    <row r="15">
      <c r="A15" t="inlineStr">
        <is>
          <t>9739427</t>
        </is>
      </c>
      <c r="B15" t="inlineStr">
        <is>
          <t>MW</t>
        </is>
      </c>
    </row>
    <row r="16">
      <c r="A16" t="inlineStr">
        <is>
          <t>9739427</t>
        </is>
      </c>
      <c r="B16" t="inlineStr">
        <is>
          <t>Mobile</t>
        </is>
      </c>
    </row>
    <row r="17">
      <c r="A17" t="inlineStr">
        <is>
          <t>10340145</t>
        </is>
      </c>
      <c r="B17" t="inlineStr">
        <is>
          <t>MW</t>
        </is>
      </c>
    </row>
    <row r="18">
      <c r="A18" t="inlineStr">
        <is>
          <t>10340145</t>
        </is>
      </c>
      <c r="B18" t="inlineStr">
        <is>
          <t>Web B</t>
        </is>
      </c>
    </row>
    <row r="19">
      <c r="A19" t="inlineStr">
        <is>
          <t>10340143</t>
        </is>
      </c>
      <c r="B19" t="inlineStr">
        <is>
          <t>Mobile</t>
        </is>
      </c>
    </row>
    <row r="20">
      <c r="A20" t="inlineStr">
        <is>
          <t>10340143</t>
        </is>
      </c>
      <c r="B20" t="inlineStr">
        <is>
          <t>Web B</t>
        </is>
      </c>
    </row>
    <row r="21">
      <c r="A21" t="inlineStr">
        <is>
          <t>10340127</t>
        </is>
      </c>
      <c r="B21" t="inlineStr">
        <is>
          <t>Web B</t>
        </is>
      </c>
    </row>
    <row r="22">
      <c r="A22" t="inlineStr">
        <is>
          <t>10340024</t>
        </is>
      </c>
      <c r="B22" t="inlineStr">
        <is>
          <t>Web B</t>
        </is>
      </c>
    </row>
    <row r="23">
      <c r="A23" t="inlineStr">
        <is>
          <t>10340021</t>
        </is>
      </c>
      <c r="B23" t="inlineStr">
        <is>
          <t>MW</t>
        </is>
      </c>
    </row>
    <row r="24">
      <c r="A24" t="inlineStr">
        <is>
          <t>10340021</t>
        </is>
      </c>
      <c r="B24" t="inlineStr">
        <is>
          <t>Mobile</t>
        </is>
      </c>
    </row>
    <row r="25">
      <c r="A25" t="inlineStr">
        <is>
          <t>10340021</t>
        </is>
      </c>
      <c r="B25" t="inlineStr">
        <is>
          <t>Web B</t>
        </is>
      </c>
    </row>
    <row r="26">
      <c r="A26" t="inlineStr">
        <is>
          <t>10058431</t>
        </is>
      </c>
      <c r="B26" t="inlineStr">
        <is>
          <t>Web B</t>
        </is>
      </c>
    </row>
    <row r="27">
      <c r="A27" t="inlineStr">
        <is>
          <t>9956873</t>
        </is>
      </c>
      <c r="B27" t="inlineStr">
        <is>
          <t>Web B</t>
        </is>
      </c>
    </row>
    <row r="28">
      <c r="A28" t="inlineStr">
        <is>
          <t>10059258</t>
        </is>
      </c>
      <c r="B28" t="inlineStr">
        <is>
          <t>MW</t>
        </is>
      </c>
    </row>
    <row r="29">
      <c r="A29" t="inlineStr">
        <is>
          <t>10059258</t>
        </is>
      </c>
      <c r="B29" t="inlineStr">
        <is>
          <t>Mobile</t>
        </is>
      </c>
    </row>
    <row r="30">
      <c r="A30" t="inlineStr">
        <is>
          <t>10059258</t>
        </is>
      </c>
      <c r="B30" t="inlineStr">
        <is>
          <t>Web B</t>
        </is>
      </c>
    </row>
    <row r="31">
      <c r="A31" t="inlineStr">
        <is>
          <t>9956507</t>
        </is>
      </c>
      <c r="B31" t="inlineStr">
        <is>
          <t>MW</t>
        </is>
      </c>
    </row>
    <row r="32">
      <c r="A32" t="inlineStr">
        <is>
          <t>9956961</t>
        </is>
      </c>
      <c r="B32" t="inlineStr">
        <is>
          <t>MW</t>
        </is>
      </c>
    </row>
    <row r="33">
      <c r="A33" t="inlineStr">
        <is>
          <t>9956961</t>
        </is>
      </c>
      <c r="B33" t="inlineStr">
        <is>
          <t>Web B</t>
        </is>
      </c>
    </row>
    <row r="34">
      <c r="A34" t="inlineStr">
        <is>
          <t>10055837</t>
        </is>
      </c>
      <c r="B34" t="inlineStr">
        <is>
          <t>Web B</t>
        </is>
      </c>
    </row>
    <row r="35">
      <c r="A35" t="inlineStr">
        <is>
          <t>9956498</t>
        </is>
      </c>
      <c r="B35" t="inlineStr">
        <is>
          <t>MW</t>
        </is>
      </c>
    </row>
    <row r="36">
      <c r="A36" t="inlineStr">
        <is>
          <t>9956498</t>
        </is>
      </c>
      <c r="B36" t="inlineStr">
        <is>
          <t>Web B</t>
        </is>
      </c>
    </row>
    <row r="37">
      <c r="A37" t="inlineStr">
        <is>
          <t>9956496</t>
        </is>
      </c>
      <c r="B37" t="inlineStr">
        <is>
          <t>Web B</t>
        </is>
      </c>
    </row>
    <row r="38">
      <c r="A38" t="inlineStr">
        <is>
          <t>9956499</t>
        </is>
      </c>
      <c r="B38" t="inlineStr">
        <is>
          <t>MW</t>
        </is>
      </c>
    </row>
    <row r="39">
      <c r="A39" t="inlineStr">
        <is>
          <t>9956499</t>
        </is>
      </c>
      <c r="B39" t="inlineStr">
        <is>
          <t>Web B</t>
        </is>
      </c>
    </row>
    <row r="40">
      <c r="A40" t="inlineStr">
        <is>
          <t>9739425</t>
        </is>
      </c>
      <c r="B40" t="inlineStr">
        <is>
          <t>FTL</t>
        </is>
      </c>
    </row>
    <row r="41">
      <c r="A41" t="inlineStr">
        <is>
          <t>9739425</t>
        </is>
      </c>
      <c r="B41" t="inlineStr">
        <is>
          <t>FSS</t>
        </is>
      </c>
    </row>
    <row r="42">
      <c r="A42" t="inlineStr">
        <is>
          <t>9739425</t>
        </is>
      </c>
      <c r="B42" t="inlineStr">
        <is>
          <t>MW</t>
        </is>
      </c>
    </row>
    <row r="43">
      <c r="A43" t="inlineStr">
        <is>
          <t>9739425</t>
        </is>
      </c>
      <c r="B43" t="inlineStr">
        <is>
          <t>Mobile</t>
        </is>
      </c>
    </row>
    <row r="44">
      <c r="A44" t="inlineStr">
        <is>
          <t>9739426</t>
        </is>
      </c>
      <c r="B44" t="inlineStr">
        <is>
          <t>FTL</t>
        </is>
      </c>
    </row>
    <row r="45">
      <c r="A45" t="inlineStr">
        <is>
          <t>9739426</t>
        </is>
      </c>
      <c r="B45" t="inlineStr">
        <is>
          <t>FSS</t>
        </is>
      </c>
    </row>
    <row r="46">
      <c r="A46" t="inlineStr">
        <is>
          <t>9739426</t>
        </is>
      </c>
      <c r="B46" t="inlineStr">
        <is>
          <t>MW</t>
        </is>
      </c>
    </row>
    <row r="47">
      <c r="A47" t="inlineStr">
        <is>
          <t>9739426</t>
        </is>
      </c>
      <c r="B47" t="inlineStr">
        <is>
          <t>Mobile</t>
        </is>
      </c>
    </row>
    <row r="48">
      <c r="A48" t="inlineStr">
        <is>
          <t>9739412</t>
        </is>
      </c>
      <c r="B48" t="inlineStr">
        <is>
          <t>MW</t>
        </is>
      </c>
    </row>
    <row r="49">
      <c r="A49" t="inlineStr">
        <is>
          <t>9739412</t>
        </is>
      </c>
      <c r="B49" t="inlineStr">
        <is>
          <t>Mobile</t>
        </is>
      </c>
    </row>
    <row r="50">
      <c r="A50" t="inlineStr">
        <is>
          <t>9739429</t>
        </is>
      </c>
      <c r="B50" t="inlineStr">
        <is>
          <t>FTL</t>
        </is>
      </c>
    </row>
    <row r="51">
      <c r="A51" t="inlineStr">
        <is>
          <t>9739429</t>
        </is>
      </c>
      <c r="B51" t="inlineStr">
        <is>
          <t>MW</t>
        </is>
      </c>
    </row>
    <row r="52">
      <c r="A52" t="inlineStr">
        <is>
          <t>9739429</t>
        </is>
      </c>
      <c r="B52" t="inlineStr">
        <is>
          <t>Mobile</t>
        </is>
      </c>
    </row>
    <row r="53">
      <c r="A53" t="inlineStr">
        <is>
          <t>9739428</t>
        </is>
      </c>
      <c r="B53" t="inlineStr">
        <is>
          <t>FTL</t>
        </is>
      </c>
    </row>
    <row r="54">
      <c r="A54" t="inlineStr">
        <is>
          <t>9739428</t>
        </is>
      </c>
      <c r="B54" t="inlineStr">
        <is>
          <t>MW</t>
        </is>
      </c>
    </row>
    <row r="55">
      <c r="A55" t="inlineStr">
        <is>
          <t>9739428</t>
        </is>
      </c>
      <c r="B55" t="inlineStr">
        <is>
          <t>Mobile</t>
        </is>
      </c>
    </row>
    <row r="56">
      <c r="A56" t="inlineStr">
        <is>
          <t>9739424</t>
        </is>
      </c>
      <c r="B56" t="inlineStr">
        <is>
          <t>FTL</t>
        </is>
      </c>
    </row>
    <row r="57">
      <c r="A57" t="inlineStr">
        <is>
          <t>9739424</t>
        </is>
      </c>
      <c r="B57" t="inlineStr">
        <is>
          <t>FSS</t>
        </is>
      </c>
    </row>
    <row r="58">
      <c r="A58" t="inlineStr">
        <is>
          <t>9739424</t>
        </is>
      </c>
      <c r="B58" t="inlineStr">
        <is>
          <t>MW</t>
        </is>
      </c>
    </row>
    <row r="59">
      <c r="A59" t="inlineStr">
        <is>
          <t>9739424</t>
        </is>
      </c>
      <c r="B59" t="inlineStr">
        <is>
          <t>Mobile</t>
        </is>
      </c>
    </row>
    <row r="60">
      <c r="A60" t="inlineStr">
        <is>
          <t>9739424</t>
        </is>
      </c>
      <c r="B60" t="inlineStr">
        <is>
          <t>Web B</t>
        </is>
      </c>
    </row>
    <row r="61">
      <c r="A61" t="inlineStr">
        <is>
          <t>9931751</t>
        </is>
      </c>
      <c r="B61" t="inlineStr">
        <is>
          <t>Mobile</t>
        </is>
      </c>
    </row>
    <row r="62">
      <c r="A62" t="inlineStr">
        <is>
          <t>9739423</t>
        </is>
      </c>
      <c r="B62" t="inlineStr">
        <is>
          <t>FTL</t>
        </is>
      </c>
    </row>
    <row r="63">
      <c r="A63" t="inlineStr">
        <is>
          <t>9739423</t>
        </is>
      </c>
      <c r="B63" t="inlineStr">
        <is>
          <t>MW</t>
        </is>
      </c>
    </row>
    <row r="64">
      <c r="A64" t="inlineStr">
        <is>
          <t>9739423</t>
        </is>
      </c>
      <c r="B64" t="inlineStr">
        <is>
          <t>Mobile</t>
        </is>
      </c>
    </row>
    <row r="65">
      <c r="A65" t="inlineStr">
        <is>
          <t>9739423</t>
        </is>
      </c>
      <c r="B65" t="inlineStr">
        <is>
          <t>Web A</t>
        </is>
      </c>
    </row>
    <row r="66">
      <c r="A66" t="inlineStr">
        <is>
          <t>9739422</t>
        </is>
      </c>
      <c r="B66" t="inlineStr">
        <is>
          <t>Mobile</t>
        </is>
      </c>
    </row>
    <row r="67">
      <c r="A67" t="inlineStr">
        <is>
          <t>9739420</t>
        </is>
      </c>
      <c r="B67" t="inlineStr">
        <is>
          <t>FTL</t>
        </is>
      </c>
    </row>
    <row r="68">
      <c r="A68" t="inlineStr">
        <is>
          <t>9739420</t>
        </is>
      </c>
      <c r="B68" t="inlineStr">
        <is>
          <t>MW</t>
        </is>
      </c>
    </row>
    <row r="69">
      <c r="A69" t="inlineStr">
        <is>
          <t>9739420</t>
        </is>
      </c>
      <c r="B69" t="inlineStr">
        <is>
          <t>Mobile</t>
        </is>
      </c>
    </row>
    <row r="70">
      <c r="A70" t="inlineStr">
        <is>
          <t>9739418</t>
        </is>
      </c>
      <c r="B70" t="inlineStr">
        <is>
          <t>FTL</t>
        </is>
      </c>
    </row>
    <row r="71">
      <c r="A71" t="inlineStr">
        <is>
          <t>9739418</t>
        </is>
      </c>
      <c r="B71" t="inlineStr">
        <is>
          <t>MW</t>
        </is>
      </c>
    </row>
    <row r="72">
      <c r="A72" t="inlineStr">
        <is>
          <t>9739418</t>
        </is>
      </c>
      <c r="B72" t="inlineStr">
        <is>
          <t>Mobile</t>
        </is>
      </c>
    </row>
    <row r="73">
      <c r="A73" t="inlineStr">
        <is>
          <t>9739416</t>
        </is>
      </c>
      <c r="B73" t="inlineStr">
        <is>
          <t>FTL</t>
        </is>
      </c>
    </row>
    <row r="74">
      <c r="A74" t="inlineStr">
        <is>
          <t>9739416</t>
        </is>
      </c>
      <c r="B74" t="inlineStr">
        <is>
          <t>MW</t>
        </is>
      </c>
    </row>
    <row r="75">
      <c r="A75" t="inlineStr">
        <is>
          <t>9739416</t>
        </is>
      </c>
      <c r="B75" t="inlineStr">
        <is>
          <t>Mobile</t>
        </is>
      </c>
    </row>
    <row r="76">
      <c r="A76" t="inlineStr">
        <is>
          <t>9739416</t>
        </is>
      </c>
      <c r="B76" t="inlineStr">
        <is>
          <t>Web B</t>
        </is>
      </c>
    </row>
    <row r="77">
      <c r="A77" t="inlineStr">
        <is>
          <t>9739417</t>
        </is>
      </c>
      <c r="B77" t="inlineStr">
        <is>
          <t>Mobile</t>
        </is>
      </c>
    </row>
    <row r="78">
      <c r="A78" t="inlineStr">
        <is>
          <t>9739421</t>
        </is>
      </c>
      <c r="B78" t="inlineStr">
        <is>
          <t>Mobile</t>
        </is>
      </c>
    </row>
    <row r="79">
      <c r="A79" t="inlineStr">
        <is>
          <t>9739430</t>
        </is>
      </c>
      <c r="B79" t="inlineStr">
        <is>
          <t>FTL</t>
        </is>
      </c>
    </row>
    <row r="80">
      <c r="A80" t="inlineStr">
        <is>
          <t>9739430</t>
        </is>
      </c>
      <c r="B80" t="inlineStr">
        <is>
          <t>MW</t>
        </is>
      </c>
    </row>
    <row r="81">
      <c r="A81" t="inlineStr">
        <is>
          <t>9739430</t>
        </is>
      </c>
      <c r="B81" t="inlineStr">
        <is>
          <t>Mobile</t>
        </is>
      </c>
    </row>
    <row r="82">
      <c r="A82" t="inlineStr">
        <is>
          <t>9739430</t>
        </is>
      </c>
      <c r="B82" t="inlineStr">
        <is>
          <t>Web B</t>
        </is>
      </c>
    </row>
    <row r="83">
      <c r="A83" t="inlineStr">
        <is>
          <t>9739431</t>
        </is>
      </c>
      <c r="B83" t="inlineStr">
        <is>
          <t>FTL</t>
        </is>
      </c>
    </row>
    <row r="84">
      <c r="A84" t="inlineStr">
        <is>
          <t>9739431</t>
        </is>
      </c>
      <c r="B84" t="inlineStr">
        <is>
          <t>MW</t>
        </is>
      </c>
    </row>
    <row r="85">
      <c r="A85" t="inlineStr">
        <is>
          <t>9739431</t>
        </is>
      </c>
      <c r="B85" t="inlineStr">
        <is>
          <t>Mobile</t>
        </is>
      </c>
    </row>
    <row r="86">
      <c r="A86" t="inlineStr">
        <is>
          <t>9739431</t>
        </is>
      </c>
      <c r="B86" t="inlineStr">
        <is>
          <t>Web B</t>
        </is>
      </c>
    </row>
    <row r="87">
      <c r="A87" t="inlineStr">
        <is>
          <t>9739432</t>
        </is>
      </c>
      <c r="B87" t="inlineStr">
        <is>
          <t>Mobile</t>
        </is>
      </c>
    </row>
    <row r="88">
      <c r="A88" t="inlineStr">
        <is>
          <t>9739433</t>
        </is>
      </c>
      <c r="B88" t="inlineStr">
        <is>
          <t>FTL</t>
        </is>
      </c>
    </row>
    <row r="89">
      <c r="A89" t="inlineStr">
        <is>
          <t>9739433</t>
        </is>
      </c>
      <c r="B89" t="inlineStr">
        <is>
          <t>MW</t>
        </is>
      </c>
    </row>
    <row r="90">
      <c r="A90" t="inlineStr">
        <is>
          <t>9739433</t>
        </is>
      </c>
      <c r="B90" t="inlineStr">
        <is>
          <t>Mobile</t>
        </is>
      </c>
    </row>
    <row r="91">
      <c r="A91" t="inlineStr">
        <is>
          <t>9739434</t>
        </is>
      </c>
      <c r="B91" t="inlineStr">
        <is>
          <t>FTL</t>
        </is>
      </c>
    </row>
    <row r="92">
      <c r="A92" t="inlineStr">
        <is>
          <t>9739434</t>
        </is>
      </c>
      <c r="B92" t="inlineStr">
        <is>
          <t>FSS</t>
        </is>
      </c>
    </row>
    <row r="93">
      <c r="A93" t="inlineStr">
        <is>
          <t>9739434</t>
        </is>
      </c>
      <c r="B93" t="inlineStr">
        <is>
          <t>MW</t>
        </is>
      </c>
    </row>
    <row r="94">
      <c r="A94" t="inlineStr">
        <is>
          <t>9739434</t>
        </is>
      </c>
      <c r="B94" t="inlineStr">
        <is>
          <t>Mobile</t>
        </is>
      </c>
    </row>
    <row r="95">
      <c r="A95" t="inlineStr">
        <is>
          <t>9739434</t>
        </is>
      </c>
      <c r="B95" t="inlineStr">
        <is>
          <t>Web A</t>
        </is>
      </c>
    </row>
    <row r="96">
      <c r="A96" t="inlineStr">
        <is>
          <t>9739435</t>
        </is>
      </c>
      <c r="B96" t="inlineStr">
        <is>
          <t>Mobile</t>
        </is>
      </c>
    </row>
    <row r="97">
      <c r="A97" t="inlineStr">
        <is>
          <t>9739435</t>
        </is>
      </c>
      <c r="B97" t="inlineStr">
        <is>
          <t>Web A</t>
        </is>
      </c>
    </row>
    <row r="98">
      <c r="A98" t="inlineStr">
        <is>
          <t>9739436</t>
        </is>
      </c>
      <c r="B98" t="inlineStr">
        <is>
          <t>Mobile</t>
        </is>
      </c>
    </row>
    <row r="99">
      <c r="A99" t="inlineStr">
        <is>
          <t>9739106</t>
        </is>
      </c>
      <c r="B99" t="inlineStr">
        <is>
          <t>Web B</t>
        </is>
      </c>
    </row>
    <row r="100">
      <c r="A100" t="inlineStr">
        <is>
          <t>9739108</t>
        </is>
      </c>
      <c r="B100" t="inlineStr">
        <is>
          <t>Web B</t>
        </is>
      </c>
    </row>
    <row r="101">
      <c r="A101" t="inlineStr">
        <is>
          <t>9739105</t>
        </is>
      </c>
      <c r="B101" t="inlineStr">
        <is>
          <t>Web B</t>
        </is>
      </c>
    </row>
    <row r="102">
      <c r="A102" t="inlineStr">
        <is>
          <t>9744376</t>
        </is>
      </c>
      <c r="B102" t="inlineStr">
        <is>
          <t>Web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2026-06-05T03:42:09Z</dcterms:created>
  <dcterms:modified xmlns:dcterms="http://purl.org/dc/terms/" xmlns:xsi="http://www.w3.org/2001/XMLSchema-instance" xsi:type="dcterms:W3CDTF">2026-07-03T04:30:25Z</dcterms:modified>
  <cp:lastModifiedBy>Minh Vo Bao</cp:lastModifiedBy>
</cp:coreProperties>
</file>