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Config" sheetId="2" state="visible" r:id="rId2"/>
    <sheet xmlns:r="http://schemas.openxmlformats.org/officeDocument/2006/relationships" name="Naming Convention" sheetId="3" state="visible" r:id="rId3"/>
    <sheet xmlns:r="http://schemas.openxmlformats.org/officeDocument/2006/relationships" name="Dashboard Summary" sheetId="4" state="visible" r:id="rId4"/>
    <sheet xmlns:r="http://schemas.openxmlformats.org/officeDocument/2006/relationships" name="CR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B2A4A"/>
      <sz val="14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2A4A"/>
      <sz val="13"/>
    </font>
    <font>
      <name val="Segoe UI"/>
      <b val="1"/>
      <color rgb="00DC2626"/>
      <sz val="12"/>
    </font>
    <font>
      <name val="Segoe UI"/>
      <b val="1"/>
      <sz val="10"/>
    </font>
    <font>
      <name val="Segoe UI"/>
      <b val="1"/>
      <color rgb="00EA6C1A"/>
      <sz val="10"/>
    </font>
    <font>
      <name val="Segoe UI"/>
      <b val="1"/>
      <color rgb="001B2A4A"/>
      <sz val="12"/>
    </font>
    <font>
      <name val="Segoe UI"/>
      <i val="1"/>
      <color rgb="0064748B"/>
      <sz val="9"/>
    </font>
    <font>
      <name val="Segoe UI"/>
      <b val="1"/>
      <color rgb="00333333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1D4ED8"/>
      <sz val="10"/>
    </font>
    <font>
      <name val="Segoe UI"/>
      <color rgb="00CBD5E1"/>
      <sz val="10"/>
    </font>
    <font>
      <name val="Segoe UI"/>
      <b val="1"/>
      <color rgb="001B2A4A"/>
      <sz val="1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right style="thin">
        <color rgb="00D0D9E8"/>
      </right>
      <bottom style="thin">
        <color rgb="00D0D9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20" customWidth="1" min="15" max="15"/>
    <col width="30" customWidth="1" min="16" max="16"/>
  </cols>
  <sheetData>
    <row r="1" ht="36" customHeight="1">
      <c r="A1" s="1" t="inlineStr">
        <is>
          <t>IT Department — Cross-Team Task Tracker 2026</t>
        </is>
      </c>
    </row>
    <row r="2" ht="28" customHeight="1">
      <c r="A2" s="2" t="inlineStr">
        <is>
          <t>Request ID</t>
        </is>
      </c>
      <c r="B2" s="2" t="inlineStr">
        <is>
          <t>Task ID</t>
        </is>
      </c>
      <c r="C2" s="2" t="inlineStr">
        <is>
          <t>Task Name</t>
        </is>
      </c>
      <c r="D2" s="2" t="inlineStr">
        <is>
          <t>Team</t>
        </is>
      </c>
      <c r="E2" s="2" t="inlineStr">
        <is>
          <t>Category</t>
        </is>
      </c>
      <c r="F2" s="2" t="inlineStr">
        <is>
          <t>Dept Tag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Phase</t>
        </is>
      </c>
      <c r="J2" s="2" t="inlineStr">
        <is>
          <t>Assignee</t>
        </is>
      </c>
      <c r="K2" s="2" t="inlineStr">
        <is>
          <t>Team Lead</t>
        </is>
      </c>
      <c r="L2" s="2" t="inlineStr">
        <is>
          <t>Created Date</t>
        </is>
      </c>
      <c r="M2" s="2" t="inlineStr">
        <is>
          <t>Deadline</t>
        </is>
      </c>
      <c r="N2" s="2" t="inlineStr">
        <is>
          <t>Completed Date</t>
        </is>
      </c>
      <c r="O2" s="2" t="inlineStr">
        <is>
          <t>Dependencies</t>
        </is>
      </c>
      <c r="P2" s="2" t="inlineStr">
        <is>
          <t>Notes</t>
        </is>
      </c>
    </row>
    <row r="3" ht="24" customHeight="1">
      <c r="A3" s="3" t="inlineStr">
        <is>
          <t>2400155</t>
        </is>
      </c>
      <c r="B3" s="3" t="inlineStr"/>
      <c r="C3" s="4" t="inlineStr">
        <is>
          <t>[CR] [2400155] [MKT] Develop Mission Tracking Page for Promotion</t>
        </is>
      </c>
      <c r="D3" s="3" t="inlineStr">
        <is>
          <t>Dev Team B</t>
        </is>
      </c>
      <c r="E3" s="3" t="inlineStr">
        <is>
          <t>CR</t>
        </is>
      </c>
      <c r="F3" s="3" t="inlineStr">
        <is>
          <t>MKT</t>
        </is>
      </c>
      <c r="G3" s="3" t="inlineStr">
        <is>
          <t>Medium</t>
        </is>
      </c>
      <c r="H3" s="3" t="inlineStr"/>
      <c r="I3" s="3" t="inlineStr">
        <is>
          <t>Q2</t>
        </is>
      </c>
      <c r="J3" s="3" t="inlineStr"/>
      <c r="K3" s="3" t="inlineStr">
        <is>
          <t>minhvo@phs.vn</t>
        </is>
      </c>
      <c r="L3" s="3" t="inlineStr"/>
      <c r="M3" s="3" t="inlineStr">
        <is>
          <t>minhvo2565</t>
        </is>
      </c>
      <c r="N3" s="3" t="inlineStr">
        <is>
          <t>minhvo2565</t>
        </is>
      </c>
      <c r="O3" s="4" t="inlineStr">
        <is>
          <t>2400155</t>
        </is>
      </c>
      <c r="P3" s="4" t="inlineStr"/>
    </row>
    <row r="4" ht="24" customHeight="1">
      <c r="A4" s="3" t="inlineStr">
        <is>
          <t>2084592</t>
        </is>
      </c>
      <c r="B4" s="3" t="inlineStr"/>
      <c r="C4" s="4" t="inlineStr">
        <is>
          <t>[CR] [2084592] [RMD] Calculate interest for accounts using special interest rate products</t>
        </is>
      </c>
      <c r="D4" s="3" t="inlineStr">
        <is>
          <t>Dev Team B</t>
        </is>
      </c>
      <c r="E4" s="3" t="inlineStr">
        <is>
          <t>CR</t>
        </is>
      </c>
      <c r="F4" s="3" t="inlineStr">
        <is>
          <t>RMD</t>
        </is>
      </c>
      <c r="G4" s="3" t="inlineStr">
        <is>
          <t>Medium</t>
        </is>
      </c>
      <c r="H4" s="3" t="inlineStr"/>
      <c r="I4" s="3" t="inlineStr">
        <is>
          <t>Q2</t>
        </is>
      </c>
      <c r="J4" s="3" t="inlineStr"/>
      <c r="K4" s="3" t="inlineStr">
        <is>
          <t>minhvo@phs.vn</t>
        </is>
      </c>
      <c r="L4" s="3" t="inlineStr"/>
      <c r="M4" s="3" t="inlineStr">
        <is>
          <t>minhvo2565</t>
        </is>
      </c>
      <c r="N4" s="3" t="inlineStr">
        <is>
          <t>minhvo2565</t>
        </is>
      </c>
      <c r="O4" s="4" t="inlineStr">
        <is>
          <t>2084592</t>
        </is>
      </c>
      <c r="P4" s="4" t="inlineStr"/>
    </row>
    <row r="5" ht="24" customHeight="1">
      <c r="A5" s="3" t="inlineStr">
        <is>
          <t>2275303</t>
        </is>
      </c>
      <c r="B5" s="3" t="inlineStr"/>
      <c r="C5" s="4" t="inlineStr">
        <is>
          <t>[CR] [2275303] [SS] Enhance securities depository features via the PHS Elite Trading application</t>
        </is>
      </c>
      <c r="D5" s="3" t="inlineStr">
        <is>
          <t>Dev Team B</t>
        </is>
      </c>
      <c r="E5" s="3" t="inlineStr">
        <is>
          <t>CR</t>
        </is>
      </c>
      <c r="F5" s="3" t="inlineStr">
        <is>
          <t>SS</t>
        </is>
      </c>
      <c r="G5" s="3" t="inlineStr">
        <is>
          <t>Medium</t>
        </is>
      </c>
      <c r="H5" s="3" t="inlineStr"/>
      <c r="I5" s="3" t="inlineStr">
        <is>
          <t>Q2</t>
        </is>
      </c>
      <c r="J5" s="3" t="inlineStr"/>
      <c r="K5" s="3" t="inlineStr">
        <is>
          <t>minhvo@phs.vn</t>
        </is>
      </c>
      <c r="L5" s="3" t="inlineStr"/>
      <c r="M5" s="3" t="inlineStr">
        <is>
          <t>minhvo2565</t>
        </is>
      </c>
      <c r="N5" s="3" t="inlineStr">
        <is>
          <t>minhvo2565</t>
        </is>
      </c>
      <c r="O5" s="4" t="inlineStr">
        <is>
          <t>2275303</t>
        </is>
      </c>
      <c r="P5" s="4" t="inlineStr"/>
    </row>
    <row r="6" ht="24" customHeight="1">
      <c r="A6" s="3" t="inlineStr">
        <is>
          <t>2275303</t>
        </is>
      </c>
      <c r="B6" s="3" t="inlineStr"/>
      <c r="C6" s="4" t="inlineStr">
        <is>
          <t>[CR] [2275303] [SS] Enhance securities depository features via the PHS Elite Trading application</t>
        </is>
      </c>
      <c r="D6" s="3" t="inlineStr">
        <is>
          <t>Team Mobile</t>
        </is>
      </c>
      <c r="E6" s="3" t="inlineStr">
        <is>
          <t>CR</t>
        </is>
      </c>
      <c r="F6" s="3" t="inlineStr">
        <is>
          <t>SS</t>
        </is>
      </c>
      <c r="G6" s="3" t="inlineStr">
        <is>
          <t>Medium</t>
        </is>
      </c>
      <c r="H6" s="3" t="inlineStr"/>
      <c r="I6" s="3" t="inlineStr">
        <is>
          <t>Q2</t>
        </is>
      </c>
      <c r="J6" s="3" t="inlineStr"/>
      <c r="K6" s="3" t="inlineStr">
        <is>
          <t>phongvo@phs.vn</t>
        </is>
      </c>
      <c r="L6" s="3" t="inlineStr"/>
      <c r="M6" s="3" t="inlineStr"/>
      <c r="N6" s="3" t="inlineStr">
        <is>
          <t>phongvo2440</t>
        </is>
      </c>
      <c r="O6" s="4" t="inlineStr">
        <is>
          <t>2275303</t>
        </is>
      </c>
      <c r="P6" s="4" t="inlineStr"/>
    </row>
    <row r="7" ht="24" customHeight="1">
      <c r="A7" s="3" t="inlineStr">
        <is>
          <t>2084592</t>
        </is>
      </c>
      <c r="B7" s="3" t="inlineStr"/>
      <c r="C7" s="4" t="inlineStr">
        <is>
          <t>[CR] [2084592] [RMD] Declare Limit &amp; Type For Account Using Special Product on FLEX system</t>
        </is>
      </c>
      <c r="D7" s="3" t="inlineStr">
        <is>
          <t>Team Mobile</t>
        </is>
      </c>
      <c r="E7" s="3" t="inlineStr">
        <is>
          <t>CR</t>
        </is>
      </c>
      <c r="F7" s="3" t="inlineStr">
        <is>
          <t>RMD</t>
        </is>
      </c>
      <c r="G7" s="3" t="inlineStr">
        <is>
          <t>Medium</t>
        </is>
      </c>
      <c r="H7" s="3" t="inlineStr"/>
      <c r="I7" s="3" t="inlineStr">
        <is>
          <t>Q2</t>
        </is>
      </c>
      <c r="J7" s="3" t="inlineStr"/>
      <c r="K7" s="3" t="inlineStr">
        <is>
          <t>phongvo@phs.vn</t>
        </is>
      </c>
      <c r="L7" s="3" t="inlineStr"/>
      <c r="M7" s="3" t="inlineStr">
        <is>
          <t>phongvo2440</t>
        </is>
      </c>
      <c r="N7" s="3" t="inlineStr">
        <is>
          <t>phongvo2440</t>
        </is>
      </c>
      <c r="O7" s="4" t="inlineStr">
        <is>
          <t>2084592</t>
        </is>
      </c>
      <c r="P7" s="4" t="inlineStr"/>
    </row>
    <row r="8" ht="24" customHeight="1">
      <c r="A8" s="3" t="inlineStr">
        <is>
          <t>2149046</t>
        </is>
      </c>
      <c r="B8" s="3" t="inlineStr"/>
      <c r="C8" s="4" t="inlineStr">
        <is>
          <t>[CR] [2149046] [IT] EKYC</t>
        </is>
      </c>
      <c r="D8" s="3" t="inlineStr">
        <is>
          <t>Team Mobile</t>
        </is>
      </c>
      <c r="E8" s="3" t="inlineStr">
        <is>
          <t>CR</t>
        </is>
      </c>
      <c r="F8" s="3" t="inlineStr">
        <is>
          <t>IT</t>
        </is>
      </c>
      <c r="G8" s="3" t="inlineStr">
        <is>
          <t>Medium</t>
        </is>
      </c>
      <c r="H8" s="3" t="inlineStr"/>
      <c r="I8" s="3" t="inlineStr">
        <is>
          <t>Q2</t>
        </is>
      </c>
      <c r="J8" s="3" t="inlineStr"/>
      <c r="K8" s="3" t="inlineStr">
        <is>
          <t>phongvo@phs.vn</t>
        </is>
      </c>
      <c r="L8" s="3" t="inlineStr"/>
      <c r="M8" s="3" t="inlineStr"/>
      <c r="N8" s="3" t="inlineStr">
        <is>
          <t>phongvo2440</t>
        </is>
      </c>
      <c r="O8" s="4" t="inlineStr">
        <is>
          <t>2149046</t>
        </is>
      </c>
      <c r="P8" s="4" t="inlineStr"/>
    </row>
    <row r="9" ht="24" customHeight="1">
      <c r="A9" s="3" t="inlineStr">
        <is>
          <t>2283752</t>
        </is>
      </c>
      <c r="B9" s="3" t="inlineStr"/>
      <c r="C9" s="4" t="inlineStr">
        <is>
          <t>[CR] [2283752] [SS] Send Notification via Elite App and mail all right issue</t>
        </is>
      </c>
      <c r="D9" s="3" t="inlineStr">
        <is>
          <t>Team Mobile</t>
        </is>
      </c>
      <c r="E9" s="3" t="inlineStr">
        <is>
          <t>CR</t>
        </is>
      </c>
      <c r="F9" s="3" t="inlineStr">
        <is>
          <t>SS</t>
        </is>
      </c>
      <c r="G9" s="3" t="inlineStr">
        <is>
          <t>Medium</t>
        </is>
      </c>
      <c r="H9" s="3" t="inlineStr"/>
      <c r="I9" s="3" t="inlineStr">
        <is>
          <t>Q2</t>
        </is>
      </c>
      <c r="J9" s="3" t="inlineStr"/>
      <c r="K9" s="3" t="inlineStr">
        <is>
          <t>phongvo@phs.vn</t>
        </is>
      </c>
      <c r="L9" s="3" t="inlineStr"/>
      <c r="M9" s="3" t="inlineStr"/>
      <c r="N9" s="3" t="inlineStr">
        <is>
          <t>phongvo2440</t>
        </is>
      </c>
      <c r="O9" s="4" t="inlineStr">
        <is>
          <t>2283752</t>
        </is>
      </c>
      <c r="P9" s="4" t="inlineStr"/>
    </row>
    <row r="10" ht="24" customHeight="1">
      <c r="A10" s="3" t="inlineStr">
        <is>
          <t>2238356</t>
        </is>
      </c>
      <c r="B10" s="3" t="inlineStr"/>
      <c r="C10" s="4" t="inlineStr">
        <is>
          <t>[CR] [2238356] [MSD] ADVANCE MARGIN FOR DERIVATIVES</t>
        </is>
      </c>
      <c r="D10" s="3" t="inlineStr">
        <is>
          <t>Team Mobile</t>
        </is>
      </c>
      <c r="E10" s="3" t="inlineStr">
        <is>
          <t>CR</t>
        </is>
      </c>
      <c r="F10" s="3" t="inlineStr">
        <is>
          <t>MSD</t>
        </is>
      </c>
      <c r="G10" s="3" t="inlineStr">
        <is>
          <t>Medium</t>
        </is>
      </c>
      <c r="H10" s="3" t="inlineStr"/>
      <c r="I10" s="3" t="inlineStr">
        <is>
          <t>Q2</t>
        </is>
      </c>
      <c r="J10" s="3" t="inlineStr"/>
      <c r="K10" s="3" t="inlineStr">
        <is>
          <t>phongvo@phs.vn</t>
        </is>
      </c>
      <c r="L10" s="3" t="inlineStr"/>
      <c r="M10" s="3" t="inlineStr">
        <is>
          <t>phongvo2440</t>
        </is>
      </c>
      <c r="N10" s="3" t="inlineStr">
        <is>
          <t>phongvo2440</t>
        </is>
      </c>
      <c r="O10" s="4" t="inlineStr">
        <is>
          <t>2238356</t>
        </is>
      </c>
      <c r="P10" s="4" t="inlineStr"/>
    </row>
    <row r="11" ht="24" customHeight="1">
      <c r="A11" s="3" t="inlineStr">
        <is>
          <t>2335404</t>
        </is>
      </c>
      <c r="B11" s="3" t="inlineStr"/>
      <c r="C11" s="4" t="inlineStr">
        <is>
          <t>[CR] [2335404] Upgrade the automatic limit adjustment feature</t>
        </is>
      </c>
      <c r="D11" s="3" t="inlineStr">
        <is>
          <t>Team Mobile</t>
        </is>
      </c>
      <c r="E11" s="3" t="inlineStr">
        <is>
          <t>CR</t>
        </is>
      </c>
      <c r="F11" s="3" t="inlineStr"/>
      <c r="G11" s="3" t="inlineStr">
        <is>
          <t>Medium</t>
        </is>
      </c>
      <c r="H11" s="3" t="inlineStr"/>
      <c r="I11" s="3" t="inlineStr">
        <is>
          <t>Q2</t>
        </is>
      </c>
      <c r="J11" s="3" t="inlineStr"/>
      <c r="K11" s="3" t="inlineStr">
        <is>
          <t>phongvo@phs.vn</t>
        </is>
      </c>
      <c r="L11" s="3" t="inlineStr"/>
      <c r="M11" s="3" t="inlineStr">
        <is>
          <t>phongvo2440</t>
        </is>
      </c>
      <c r="N11" s="3" t="inlineStr">
        <is>
          <t>phongvo2440</t>
        </is>
      </c>
      <c r="O11" s="4" t="inlineStr">
        <is>
          <t>2335404</t>
        </is>
      </c>
      <c r="P11" s="4" t="inlineStr"/>
    </row>
    <row r="12" ht="24" customHeight="1">
      <c r="A12" s="3" t="inlineStr">
        <is>
          <t>2400155</t>
        </is>
      </c>
      <c r="B12" s="3" t="inlineStr"/>
      <c r="C12" s="4" t="inlineStr">
        <is>
          <t>[CR] [2400155] Marketing - Develop Mission Tracking Page for Promotion Q1.2026</t>
        </is>
      </c>
      <c r="D12" s="3" t="inlineStr">
        <is>
          <t>Team Mobile</t>
        </is>
      </c>
      <c r="E12" s="3" t="inlineStr">
        <is>
          <t>CR</t>
        </is>
      </c>
      <c r="F12" s="3" t="inlineStr"/>
      <c r="G12" s="3" t="inlineStr">
        <is>
          <t>Medium</t>
        </is>
      </c>
      <c r="H12" s="3" t="inlineStr"/>
      <c r="I12" s="3" t="inlineStr">
        <is>
          <t>Q2</t>
        </is>
      </c>
      <c r="J12" s="3" t="inlineStr"/>
      <c r="K12" s="3" t="inlineStr">
        <is>
          <t>phongvo@phs.vn</t>
        </is>
      </c>
      <c r="L12" s="3" t="inlineStr"/>
      <c r="M12" s="3" t="inlineStr">
        <is>
          <t>phongvo2440</t>
        </is>
      </c>
      <c r="N12" s="3" t="inlineStr">
        <is>
          <t>phongvo2440</t>
        </is>
      </c>
      <c r="O12" s="4" t="inlineStr">
        <is>
          <t>2400155</t>
        </is>
      </c>
      <c r="P12" s="4" t="inlineStr"/>
    </row>
    <row r="13" ht="24" customHeight="1">
      <c r="A13" s="3" t="inlineStr">
        <is>
          <t>2310394</t>
        </is>
      </c>
      <c r="B13" s="3" t="inlineStr"/>
      <c r="C13" s="4" t="inlineStr">
        <is>
          <t>[CR] [2310394] Tax analysis and estimation tools for investors (Phase 1)</t>
        </is>
      </c>
      <c r="D13" s="3" t="inlineStr">
        <is>
          <t>Team Mobile</t>
        </is>
      </c>
      <c r="E13" s="3" t="inlineStr">
        <is>
          <t>CR</t>
        </is>
      </c>
      <c r="F13" s="3" t="inlineStr"/>
      <c r="G13" s="3" t="inlineStr">
        <is>
          <t>Medium</t>
        </is>
      </c>
      <c r="H13" s="3" t="inlineStr"/>
      <c r="I13" s="3" t="inlineStr">
        <is>
          <t>Q2</t>
        </is>
      </c>
      <c r="J13" s="3" t="inlineStr"/>
      <c r="K13" s="3" t="inlineStr">
        <is>
          <t>phongvo@phs.vn</t>
        </is>
      </c>
      <c r="L13" s="3" t="inlineStr"/>
      <c r="M13" s="3" t="inlineStr">
        <is>
          <t>phongvo2440</t>
        </is>
      </c>
      <c r="N13" s="3" t="inlineStr">
        <is>
          <t>phongvo2440</t>
        </is>
      </c>
      <c r="O13" s="4" t="inlineStr"/>
      <c r="P13" s="4" t="inlineStr"/>
    </row>
    <row r="14" ht="24" customHeight="1">
      <c r="A14" s="3" t="inlineStr">
        <is>
          <t>2335404</t>
        </is>
      </c>
      <c r="B14" s="3" t="inlineStr"/>
      <c r="C14" s="4" t="inlineStr">
        <is>
          <t>[CR] [2335404] [RMD] Upgrade the automatic limit adjustment feature on Customer Portal Admin</t>
        </is>
      </c>
      <c r="D14" s="3" t="inlineStr">
        <is>
          <t>Dev Team B</t>
        </is>
      </c>
      <c r="E14" s="3" t="inlineStr">
        <is>
          <t>CR</t>
        </is>
      </c>
      <c r="F14" s="3" t="inlineStr">
        <is>
          <t>RMD</t>
        </is>
      </c>
      <c r="G14" s="3" t="inlineStr">
        <is>
          <t>Medium</t>
        </is>
      </c>
      <c r="H14" s="3" t="inlineStr"/>
      <c r="I14" s="3" t="inlineStr">
        <is>
          <t>Q2</t>
        </is>
      </c>
      <c r="J14" s="3" t="inlineStr"/>
      <c r="K14" s="3" t="inlineStr">
        <is>
          <t>minhvo@phs.vn</t>
        </is>
      </c>
      <c r="L14" s="3" t="inlineStr"/>
      <c r="M14" s="3" t="inlineStr">
        <is>
          <t>minhvo2565</t>
        </is>
      </c>
      <c r="N14" s="3" t="inlineStr">
        <is>
          <t>minhvo2565</t>
        </is>
      </c>
      <c r="O14" s="4" t="inlineStr">
        <is>
          <t>2335404</t>
        </is>
      </c>
      <c r="P14" s="4" t="inlineStr"/>
    </row>
    <row r="15" ht="24" customHeight="1">
      <c r="A15" s="3" t="inlineStr">
        <is>
          <t>2400155</t>
        </is>
      </c>
      <c r="B15" s="3" t="inlineStr"/>
      <c r="C15" s="4" t="inlineStr">
        <is>
          <t>[CR] [2400155] [MKT] Develop Mission Tracking Page for Promotion</t>
        </is>
      </c>
      <c r="D15" s="3" t="inlineStr">
        <is>
          <t>Dev Team B</t>
        </is>
      </c>
      <c r="E15" s="3" t="inlineStr">
        <is>
          <t>CR</t>
        </is>
      </c>
      <c r="F15" s="3" t="inlineStr">
        <is>
          <t>MKT</t>
        </is>
      </c>
      <c r="G15" s="3" t="inlineStr">
        <is>
          <t>Medium</t>
        </is>
      </c>
      <c r="H15" s="3" t="inlineStr"/>
      <c r="I15" s="3" t="inlineStr">
        <is>
          <t>Q2</t>
        </is>
      </c>
      <c r="J15" s="3" t="inlineStr"/>
      <c r="K15" s="3" t="inlineStr">
        <is>
          <t>minhvo@phs.vn</t>
        </is>
      </c>
      <c r="L15" s="3" t="inlineStr"/>
      <c r="M15" s="3" t="inlineStr">
        <is>
          <t>minhvo2565</t>
        </is>
      </c>
      <c r="N15" s="3" t="inlineStr">
        <is>
          <t>minhvo2565</t>
        </is>
      </c>
      <c r="O15" s="4" t="inlineStr">
        <is>
          <t>2400155</t>
        </is>
      </c>
      <c r="P15" s="4" t="inlineStr"/>
    </row>
    <row r="16" ht="24" customHeight="1">
      <c r="A16" s="3" t="inlineStr">
        <is>
          <t>2403987</t>
        </is>
      </c>
      <c r="B16" s="3" t="inlineStr"/>
      <c r="C16" s="4" t="inlineStr">
        <is>
          <t>[CR] [2403987] [SS] Loyalty System - Phase 1</t>
        </is>
      </c>
      <c r="D16" s="3" t="inlineStr">
        <is>
          <t>Dev Team B</t>
        </is>
      </c>
      <c r="E16" s="3" t="inlineStr">
        <is>
          <t>CR</t>
        </is>
      </c>
      <c r="F16" s="3" t="inlineStr">
        <is>
          <t>SS</t>
        </is>
      </c>
      <c r="G16" s="3" t="inlineStr">
        <is>
          <t>Medium</t>
        </is>
      </c>
      <c r="H16" s="3" t="inlineStr"/>
      <c r="I16" s="3" t="inlineStr">
        <is>
          <t>Q2</t>
        </is>
      </c>
      <c r="J16" s="3" t="inlineStr"/>
      <c r="K16" s="3" t="inlineStr">
        <is>
          <t>minhvo@phs.vn</t>
        </is>
      </c>
      <c r="L16" s="3" t="inlineStr"/>
      <c r="M16" s="3" t="inlineStr">
        <is>
          <t>minhvo2565</t>
        </is>
      </c>
      <c r="N16" s="3" t="inlineStr">
        <is>
          <t>minhvo2565</t>
        </is>
      </c>
      <c r="O16" s="4" t="inlineStr"/>
      <c r="P16" s="4" t="inlineStr"/>
    </row>
    <row r="17" ht="24" customHeight="1">
      <c r="A17" s="3" t="inlineStr">
        <is>
          <t>2129248</t>
        </is>
      </c>
      <c r="B17" s="3" t="inlineStr"/>
      <c r="C17" s="4" t="inlineStr">
        <is>
          <t>[CR] [2129248] [RMD] Add Special room information for Locations</t>
        </is>
      </c>
      <c r="D17" s="3" t="inlineStr">
        <is>
          <t>Dev Team B</t>
        </is>
      </c>
      <c r="E17" s="3" t="inlineStr">
        <is>
          <t>CR</t>
        </is>
      </c>
      <c r="F17" s="3" t="inlineStr">
        <is>
          <t>RMD</t>
        </is>
      </c>
      <c r="G17" s="3" t="inlineStr">
        <is>
          <t>Medium</t>
        </is>
      </c>
      <c r="H17" s="3" t="inlineStr"/>
      <c r="I17" s="3" t="inlineStr">
        <is>
          <t>Q2</t>
        </is>
      </c>
      <c r="J17" s="3" t="inlineStr"/>
      <c r="K17" s="3" t="inlineStr">
        <is>
          <t>minhvo@phs.vn</t>
        </is>
      </c>
      <c r="L17" s="3" t="inlineStr"/>
      <c r="M17" s="3" t="inlineStr">
        <is>
          <t>minhvo2565</t>
        </is>
      </c>
      <c r="N17" s="3" t="inlineStr">
        <is>
          <t>minhvo2565</t>
        </is>
      </c>
      <c r="O17" s="4" t="inlineStr"/>
      <c r="P17" s="4" t="inlineStr"/>
    </row>
    <row r="18" ht="24" customHeight="1">
      <c r="A18" s="3" t="inlineStr">
        <is>
          <t>2084592</t>
        </is>
      </c>
      <c r="B18" s="3" t="inlineStr"/>
      <c r="C18" s="4" t="inlineStr">
        <is>
          <t>[CR] [2084592] [RMD] Calculate interest for accounts using special interest rate products</t>
        </is>
      </c>
      <c r="D18" s="3" t="inlineStr">
        <is>
          <t>Dev Team B</t>
        </is>
      </c>
      <c r="E18" s="3" t="inlineStr">
        <is>
          <t>CR</t>
        </is>
      </c>
      <c r="F18" s="3" t="inlineStr">
        <is>
          <t>RMD</t>
        </is>
      </c>
      <c r="G18" s="3" t="inlineStr">
        <is>
          <t>Medium</t>
        </is>
      </c>
      <c r="H18" s="3" t="inlineStr"/>
      <c r="I18" s="3" t="inlineStr">
        <is>
          <t>Q2</t>
        </is>
      </c>
      <c r="J18" s="3" t="inlineStr"/>
      <c r="K18" s="3" t="inlineStr">
        <is>
          <t>minhvo@phs.vn</t>
        </is>
      </c>
      <c r="L18" s="3" t="inlineStr"/>
      <c r="M18" s="3" t="inlineStr">
        <is>
          <t>minhvo2565</t>
        </is>
      </c>
      <c r="N18" s="3" t="inlineStr">
        <is>
          <t>minhvo2565</t>
        </is>
      </c>
      <c r="O18" s="4" t="inlineStr">
        <is>
          <t>2084592</t>
        </is>
      </c>
      <c r="P18" s="4" t="inlineStr"/>
    </row>
    <row r="19" ht="24" customHeight="1">
      <c r="A19" s="3" t="inlineStr">
        <is>
          <t>2275303</t>
        </is>
      </c>
      <c r="B19" s="3" t="inlineStr"/>
      <c r="C19" s="4" t="inlineStr">
        <is>
          <t>[CR] [2275303] [SS] Enhance securities depository features via the PHS Elite Trading application</t>
        </is>
      </c>
      <c r="D19" s="3" t="inlineStr">
        <is>
          <t>Dev Team B</t>
        </is>
      </c>
      <c r="E19" s="3" t="inlineStr">
        <is>
          <t>CR</t>
        </is>
      </c>
      <c r="F19" s="3" t="inlineStr">
        <is>
          <t>SS</t>
        </is>
      </c>
      <c r="G19" s="3" t="inlineStr">
        <is>
          <t>Medium</t>
        </is>
      </c>
      <c r="H19" s="3" t="inlineStr"/>
      <c r="I19" s="3" t="inlineStr">
        <is>
          <t>Q2</t>
        </is>
      </c>
      <c r="J19" s="3" t="inlineStr"/>
      <c r="K19" s="3" t="inlineStr">
        <is>
          <t>minhvo@phs.vn</t>
        </is>
      </c>
      <c r="L19" s="3" t="inlineStr"/>
      <c r="M19" s="3" t="inlineStr">
        <is>
          <t>minhvo2565</t>
        </is>
      </c>
      <c r="N19" s="3" t="inlineStr">
        <is>
          <t>minhvo2565</t>
        </is>
      </c>
      <c r="O19" s="4" t="inlineStr">
        <is>
          <t>2275303</t>
        </is>
      </c>
      <c r="P19" s="4" t="inlineStr"/>
    </row>
    <row r="20" ht="24" customHeight="1">
      <c r="A20" s="3" t="inlineStr">
        <is>
          <t>2423945</t>
        </is>
      </c>
      <c r="B20" s="3" t="inlineStr"/>
      <c r="C20" s="4" t="inlineStr">
        <is>
          <t>[CR] [2423945] [SS] Enhance the promotional declaration feature on the Admin Portal</t>
        </is>
      </c>
      <c r="D20" s="3" t="inlineStr">
        <is>
          <t>Dev Team B</t>
        </is>
      </c>
      <c r="E20" s="3" t="inlineStr">
        <is>
          <t>CR</t>
        </is>
      </c>
      <c r="F20" s="3" t="inlineStr">
        <is>
          <t>SS</t>
        </is>
      </c>
      <c r="G20" s="3" t="inlineStr">
        <is>
          <t>Medium</t>
        </is>
      </c>
      <c r="H20" s="3" t="inlineStr"/>
      <c r="I20" s="3" t="inlineStr">
        <is>
          <t>Q2</t>
        </is>
      </c>
      <c r="J20" s="3" t="inlineStr"/>
      <c r="K20" s="3" t="inlineStr">
        <is>
          <t>minhvo@phs.vn</t>
        </is>
      </c>
      <c r="L20" s="3" t="inlineStr"/>
      <c r="M20" s="3" t="inlineStr">
        <is>
          <t>minhvo2565</t>
        </is>
      </c>
      <c r="N20" s="3" t="inlineStr">
        <is>
          <t>minhvo2565</t>
        </is>
      </c>
      <c r="O20" s="4" t="inlineStr"/>
      <c r="P20" s="4" t="inlineStr"/>
    </row>
    <row r="21" ht="24" customHeight="1">
      <c r="A21" s="3" t="inlineStr">
        <is>
          <t>2154685</t>
        </is>
      </c>
      <c r="B21" s="3" t="inlineStr"/>
      <c r="C21" s="4" t="inlineStr">
        <is>
          <t>[CR] [2154685] [BMD] Upgrade fund certificate trading feature on Mobile app</t>
        </is>
      </c>
      <c r="D21" s="3" t="inlineStr">
        <is>
          <t>Dev Team B</t>
        </is>
      </c>
      <c r="E21" s="3" t="inlineStr">
        <is>
          <t>CR</t>
        </is>
      </c>
      <c r="F21" s="3" t="inlineStr">
        <is>
          <t>BMD</t>
        </is>
      </c>
      <c r="G21" s="3" t="inlineStr">
        <is>
          <t>Medium</t>
        </is>
      </c>
      <c r="H21" s="3" t="inlineStr"/>
      <c r="I21" s="3" t="inlineStr">
        <is>
          <t>Q2</t>
        </is>
      </c>
      <c r="J21" s="3" t="inlineStr"/>
      <c r="K21" s="3" t="inlineStr">
        <is>
          <t>minhvo@phs.vn</t>
        </is>
      </c>
      <c r="L21" s="3" t="inlineStr"/>
      <c r="M21" s="3" t="inlineStr">
        <is>
          <t>minhvo2565</t>
        </is>
      </c>
      <c r="N21" s="3" t="inlineStr">
        <is>
          <t>minhvo2565</t>
        </is>
      </c>
      <c r="O21" s="4" t="inlineStr">
        <is>
          <t>2154685</t>
        </is>
      </c>
      <c r="P21" s="4" t="inlineStr"/>
    </row>
    <row r="22" ht="24" customHeight="1">
      <c r="A22" s="3" t="inlineStr">
        <is>
          <t>2385402</t>
        </is>
      </c>
      <c r="B22" s="3" t="inlineStr"/>
      <c r="C22" s="4" t="inlineStr">
        <is>
          <t>[CR] [2385402] [MKT] Create popup on web phs.vn to promote for landing page PHS 20 Years Anniversary</t>
        </is>
      </c>
      <c r="D22" s="3" t="inlineStr">
        <is>
          <t>Dev Team B</t>
        </is>
      </c>
      <c r="E22" s="3" t="inlineStr">
        <is>
          <t>CR</t>
        </is>
      </c>
      <c r="F22" s="3" t="inlineStr">
        <is>
          <t>MKT</t>
        </is>
      </c>
      <c r="G22" s="3" t="inlineStr">
        <is>
          <t>Medium</t>
        </is>
      </c>
      <c r="H22" s="3" t="inlineStr"/>
      <c r="I22" s="3" t="inlineStr">
        <is>
          <t>Q2</t>
        </is>
      </c>
      <c r="J22" s="3" t="inlineStr"/>
      <c r="K22" s="3" t="inlineStr">
        <is>
          <t>minhvo@phs.vn</t>
        </is>
      </c>
      <c r="L22" s="3" t="inlineStr"/>
      <c r="M22" s="3" t="inlineStr">
        <is>
          <t>minhvo2565</t>
        </is>
      </c>
      <c r="N22" s="3" t="inlineStr">
        <is>
          <t>minhvo2565</t>
        </is>
      </c>
      <c r="O22" s="4" t="inlineStr"/>
      <c r="P22" s="4" t="inlineStr"/>
    </row>
    <row r="23" ht="24" customHeight="1">
      <c r="A23" s="3" t="inlineStr">
        <is>
          <t>2197982</t>
        </is>
      </c>
      <c r="B23" s="3" t="inlineStr"/>
      <c r="C23" s="4" t="inlineStr">
        <is>
          <t>[CR] [2197982] [RS] Research Landing Page: All Features &amp; Phase 1 Execution</t>
        </is>
      </c>
      <c r="D23" s="3" t="inlineStr">
        <is>
          <t>Dev Team B</t>
        </is>
      </c>
      <c r="E23" s="3" t="inlineStr">
        <is>
          <t>CR</t>
        </is>
      </c>
      <c r="F23" s="3" t="inlineStr">
        <is>
          <t>RS</t>
        </is>
      </c>
      <c r="G23" s="3" t="inlineStr">
        <is>
          <t>Medium</t>
        </is>
      </c>
      <c r="H23" s="3" t="inlineStr"/>
      <c r="I23" s="3" t="inlineStr">
        <is>
          <t>Q2</t>
        </is>
      </c>
      <c r="J23" s="3" t="inlineStr"/>
      <c r="K23" s="3" t="inlineStr">
        <is>
          <t>minhvo@phs.vn</t>
        </is>
      </c>
      <c r="L23" s="3" t="inlineStr"/>
      <c r="M23" s="3" t="inlineStr">
        <is>
          <t>minhvo2565</t>
        </is>
      </c>
      <c r="N23" s="3" t="inlineStr">
        <is>
          <t>minhvo2565</t>
        </is>
      </c>
      <c r="O23" s="4" t="inlineStr"/>
      <c r="P23" s="4" t="inlineStr"/>
    </row>
    <row r="24" ht="24" customHeight="1">
      <c r="A24" s="3" t="inlineStr">
        <is>
          <t>1954732</t>
        </is>
      </c>
      <c r="B24" s="3" t="inlineStr"/>
      <c r="C24" s="4" t="inlineStr">
        <is>
          <t>[CR] [1954732] [HR] HR report automation</t>
        </is>
      </c>
      <c r="D24" s="3" t="inlineStr">
        <is>
          <t>Dev Team B</t>
        </is>
      </c>
      <c r="E24" s="3" t="inlineStr">
        <is>
          <t>CR</t>
        </is>
      </c>
      <c r="F24" s="3" t="inlineStr">
        <is>
          <t>HR</t>
        </is>
      </c>
      <c r="G24" s="3" t="inlineStr">
        <is>
          <t>Medium</t>
        </is>
      </c>
      <c r="H24" s="3" t="inlineStr"/>
      <c r="I24" s="3" t="inlineStr">
        <is>
          <t>Backlog</t>
        </is>
      </c>
      <c r="J24" s="3" t="inlineStr"/>
      <c r="K24" s="3" t="inlineStr">
        <is>
          <t>minhvo@phs.vn</t>
        </is>
      </c>
      <c r="L24" s="3" t="inlineStr"/>
      <c r="M24" s="3" t="inlineStr">
        <is>
          <t>minhvo2565</t>
        </is>
      </c>
      <c r="N24" s="3" t="inlineStr">
        <is>
          <t>minhvo2565</t>
        </is>
      </c>
      <c r="O24" s="4" t="inlineStr"/>
      <c r="P24" s="4" t="inlineStr"/>
    </row>
    <row r="25" ht="24" customHeight="1">
      <c r="A25" s="3" t="inlineStr">
        <is>
          <t>2426812</t>
        </is>
      </c>
      <c r="B25" s="3" t="inlineStr"/>
      <c r="C25" s="4" t="inlineStr">
        <is>
          <t>[CR] [2426812] [MKT] Merge CCC &amp; RS chatbot into one Master Client Chatbot</t>
        </is>
      </c>
      <c r="D25" s="3" t="inlineStr">
        <is>
          <t>Dev Team B</t>
        </is>
      </c>
      <c r="E25" s="3" t="inlineStr">
        <is>
          <t>CR</t>
        </is>
      </c>
      <c r="F25" s="3" t="inlineStr">
        <is>
          <t>MKT</t>
        </is>
      </c>
      <c r="G25" s="3" t="inlineStr">
        <is>
          <t>Medium</t>
        </is>
      </c>
      <c r="H25" s="3" t="inlineStr"/>
      <c r="I25" s="3" t="inlineStr">
        <is>
          <t>Backlog</t>
        </is>
      </c>
      <c r="J25" s="3" t="inlineStr"/>
      <c r="K25" s="3" t="inlineStr">
        <is>
          <t>minhvo@phs.vn</t>
        </is>
      </c>
      <c r="L25" s="3" t="inlineStr"/>
      <c r="M25" s="3" t="inlineStr">
        <is>
          <t>minhvo2565</t>
        </is>
      </c>
      <c r="N25" s="3" t="inlineStr">
        <is>
          <t>minhvo2565</t>
        </is>
      </c>
      <c r="O25" s="4" t="inlineStr"/>
      <c r="P25" s="4" t="inlineStr"/>
    </row>
    <row r="26" ht="24" customHeight="1">
      <c r="A26" s="3" t="inlineStr">
        <is>
          <t>2415056</t>
        </is>
      </c>
      <c r="B26" s="3" t="inlineStr"/>
      <c r="C26" s="4" t="inlineStr">
        <is>
          <t>[CR] [2415056] [MKT] Implementation of “Partner Offers” on PHS Mobile App</t>
        </is>
      </c>
      <c r="D26" s="3" t="inlineStr">
        <is>
          <t>Dev Team B</t>
        </is>
      </c>
      <c r="E26" s="3" t="inlineStr">
        <is>
          <t>CR</t>
        </is>
      </c>
      <c r="F26" s="3" t="inlineStr">
        <is>
          <t>MKT</t>
        </is>
      </c>
      <c r="G26" s="3" t="inlineStr">
        <is>
          <t>Medium</t>
        </is>
      </c>
      <c r="H26" s="3" t="inlineStr"/>
      <c r="I26" s="3" t="inlineStr">
        <is>
          <t>Backlog</t>
        </is>
      </c>
      <c r="J26" s="3" t="inlineStr"/>
      <c r="K26" s="3" t="inlineStr">
        <is>
          <t>minhvo@phs.vn</t>
        </is>
      </c>
      <c r="L26" s="3" t="inlineStr"/>
      <c r="M26" s="3" t="inlineStr">
        <is>
          <t>minhvo2565</t>
        </is>
      </c>
      <c r="N26" s="3" t="inlineStr">
        <is>
          <t>minhvo2565</t>
        </is>
      </c>
      <c r="O26" s="4" t="inlineStr">
        <is>
          <t>2415056</t>
        </is>
      </c>
      <c r="P26" s="4" t="inlineStr"/>
    </row>
    <row r="27" ht="24" customHeight="1">
      <c r="A27" s="3" t="inlineStr">
        <is>
          <t>2330515</t>
        </is>
      </c>
      <c r="B27" s="3" t="inlineStr"/>
      <c r="C27" s="4" t="inlineStr">
        <is>
          <t>[CR] [2330515] [RMD] IPO Share Subscription Feature</t>
        </is>
      </c>
      <c r="D27" s="3" t="inlineStr">
        <is>
          <t>Dev Team B</t>
        </is>
      </c>
      <c r="E27" s="3" t="inlineStr">
        <is>
          <t>CR</t>
        </is>
      </c>
      <c r="F27" s="3" t="inlineStr">
        <is>
          <t>RMD</t>
        </is>
      </c>
      <c r="G27" s="3" t="inlineStr">
        <is>
          <t>Medium</t>
        </is>
      </c>
      <c r="H27" s="3" t="inlineStr"/>
      <c r="I27" s="3" t="inlineStr">
        <is>
          <t>Backlog</t>
        </is>
      </c>
      <c r="J27" s="3" t="inlineStr"/>
      <c r="K27" s="3" t="inlineStr">
        <is>
          <t>minhvo@phs.vn</t>
        </is>
      </c>
      <c r="L27" s="3" t="inlineStr"/>
      <c r="M27" s="3" t="inlineStr">
        <is>
          <t>minhvo2565</t>
        </is>
      </c>
      <c r="N27" s="3" t="inlineStr">
        <is>
          <t>minhvo2565</t>
        </is>
      </c>
      <c r="O27" s="4" t="inlineStr">
        <is>
          <t>2330515</t>
        </is>
      </c>
      <c r="P27" s="4" t="inlineStr"/>
    </row>
    <row r="28" ht="24" customHeight="1">
      <c r="A28" s="3" t="inlineStr">
        <is>
          <t>2425861</t>
        </is>
      </c>
      <c r="B28" s="3" t="inlineStr"/>
      <c r="C28" s="4" t="inlineStr">
        <is>
          <t>[CR] [2425861] [RS] Research Portal: Phase 2</t>
        </is>
      </c>
      <c r="D28" s="3" t="inlineStr">
        <is>
          <t>Dev Team B</t>
        </is>
      </c>
      <c r="E28" s="3" t="inlineStr">
        <is>
          <t>CR</t>
        </is>
      </c>
      <c r="F28" s="3" t="inlineStr">
        <is>
          <t>RS</t>
        </is>
      </c>
      <c r="G28" s="3" t="inlineStr">
        <is>
          <t>Medium</t>
        </is>
      </c>
      <c r="H28" s="3" t="inlineStr"/>
      <c r="I28" s="3" t="inlineStr">
        <is>
          <t>Backlog</t>
        </is>
      </c>
      <c r="J28" s="3" t="inlineStr"/>
      <c r="K28" s="3" t="inlineStr">
        <is>
          <t>minhvo@phs.vn</t>
        </is>
      </c>
      <c r="L28" s="3" t="inlineStr"/>
      <c r="M28" s="3" t="inlineStr">
        <is>
          <t>minhvo2565</t>
        </is>
      </c>
      <c r="N28" s="3" t="inlineStr">
        <is>
          <t>minhvo2565</t>
        </is>
      </c>
      <c r="O28" s="4" t="inlineStr"/>
      <c r="P28" s="4" t="inlineStr"/>
    </row>
    <row r="29" ht="24" customHeight="1">
      <c r="A29" s="3" t="inlineStr">
        <is>
          <t>1923581</t>
        </is>
      </c>
      <c r="B29" s="3" t="inlineStr"/>
      <c r="C29" s="4" t="inlineStr">
        <is>
          <t>[CR] [1923581] [RMD] Tool to control the number of positions that need to be closed out</t>
        </is>
      </c>
      <c r="D29" s="3" t="inlineStr">
        <is>
          <t>Dev Team B</t>
        </is>
      </c>
      <c r="E29" s="3" t="inlineStr">
        <is>
          <t>CR</t>
        </is>
      </c>
      <c r="F29" s="3" t="inlineStr">
        <is>
          <t>RMD</t>
        </is>
      </c>
      <c r="G29" s="3" t="inlineStr">
        <is>
          <t>Medium</t>
        </is>
      </c>
      <c r="H29" s="3" t="inlineStr"/>
      <c r="I29" s="3" t="inlineStr">
        <is>
          <t>Backlog</t>
        </is>
      </c>
      <c r="J29" s="3" t="inlineStr"/>
      <c r="K29" s="3" t="inlineStr">
        <is>
          <t>minhvo@phs.vn</t>
        </is>
      </c>
      <c r="L29" s="3" t="inlineStr"/>
      <c r="M29" s="3" t="inlineStr">
        <is>
          <t>minhvo2565</t>
        </is>
      </c>
      <c r="N29" s="3" t="inlineStr">
        <is>
          <t>minhvo2565</t>
        </is>
      </c>
      <c r="O29" s="4" t="inlineStr"/>
      <c r="P29" s="4" t="inlineStr"/>
    </row>
    <row r="30" ht="24" customHeight="1">
      <c r="A30" s="3" t="inlineStr">
        <is>
          <t>2329940</t>
        </is>
      </c>
      <c r="B30" s="3" t="inlineStr"/>
      <c r="C30" s="4" t="inlineStr">
        <is>
          <t>[CR] [2329940] [RS] AI Chatbot Integration for Elite Mobile App &amp; Xpro Web Trading</t>
        </is>
      </c>
      <c r="D30" s="3" t="inlineStr">
        <is>
          <t>Team Mobile</t>
        </is>
      </c>
      <c r="E30" s="3" t="inlineStr">
        <is>
          <t>CR</t>
        </is>
      </c>
      <c r="F30" s="3" t="inlineStr">
        <is>
          <t>RS</t>
        </is>
      </c>
      <c r="G30" s="3" t="inlineStr">
        <is>
          <t>Low</t>
        </is>
      </c>
      <c r="H30" s="3" t="inlineStr"/>
      <c r="I30" s="3" t="inlineStr">
        <is>
          <t>Q2</t>
        </is>
      </c>
      <c r="J30" s="3" t="inlineStr"/>
      <c r="K30" s="3" t="inlineStr">
        <is>
          <t>phongvo@phs.vn</t>
        </is>
      </c>
      <c r="L30" s="3" t="inlineStr"/>
      <c r="M30" s="3" t="inlineStr"/>
      <c r="N30" s="3" t="inlineStr">
        <is>
          <t>phongvo2440</t>
        </is>
      </c>
      <c r="O30" s="4" t="inlineStr"/>
      <c r="P30" s="4" t="inlineStr"/>
    </row>
    <row r="31" ht="24" customHeight="1">
      <c r="A31" s="3" t="inlineStr">
        <is>
          <t>2306127</t>
        </is>
      </c>
      <c r="B31" s="3" t="inlineStr"/>
      <c r="C31" s="4" t="inlineStr">
        <is>
          <t>[CR] [2306127] INB_ Proposal to implement the mobile app notifications for Elite Seeds</t>
        </is>
      </c>
      <c r="D31" s="3" t="inlineStr">
        <is>
          <t>Team Mobile</t>
        </is>
      </c>
      <c r="E31" s="3" t="inlineStr">
        <is>
          <t>CR</t>
        </is>
      </c>
      <c r="F31" s="3" t="inlineStr"/>
      <c r="G31" s="3" t="inlineStr">
        <is>
          <t>Medium</t>
        </is>
      </c>
      <c r="H31" s="3" t="inlineStr"/>
      <c r="I31" s="3" t="inlineStr">
        <is>
          <t>Q2</t>
        </is>
      </c>
      <c r="J31" s="3" t="inlineStr"/>
      <c r="K31" s="3" t="inlineStr">
        <is>
          <t>phongvo@phs.vn</t>
        </is>
      </c>
      <c r="L31" s="3" t="inlineStr"/>
      <c r="M31" s="3" t="inlineStr">
        <is>
          <t>phongvo2440</t>
        </is>
      </c>
      <c r="N31" s="3" t="inlineStr">
        <is>
          <t>phongvo2440</t>
        </is>
      </c>
      <c r="O31" s="4" t="inlineStr"/>
      <c r="P31" s="4" t="inlineStr"/>
    </row>
    <row r="32" ht="24" customHeight="1">
      <c r="A32" s="3" t="inlineStr">
        <is>
          <t>2372910</t>
        </is>
      </c>
      <c r="B32" s="3" t="inlineStr"/>
      <c r="C32" s="4" t="inlineStr">
        <is>
          <t>[CR][2372910] [RESEARCH] Permission to get API data from OpenAcc web</t>
        </is>
      </c>
      <c r="D32" s="3" t="inlineStr">
        <is>
          <t>Team Mobile</t>
        </is>
      </c>
      <c r="E32" s="3" t="inlineStr">
        <is>
          <t>CR</t>
        </is>
      </c>
      <c r="F32" s="3" t="inlineStr"/>
      <c r="G32" s="3" t="inlineStr">
        <is>
          <t>Medium</t>
        </is>
      </c>
      <c r="H32" s="3" t="inlineStr"/>
      <c r="I32" s="3" t="inlineStr">
        <is>
          <t>Q2</t>
        </is>
      </c>
      <c r="J32" s="3" t="inlineStr"/>
      <c r="K32" s="3" t="inlineStr">
        <is>
          <t>phongvo@phs.vn</t>
        </is>
      </c>
      <c r="L32" s="3" t="inlineStr"/>
      <c r="M32" s="3" t="inlineStr">
        <is>
          <t>phongvo2440</t>
        </is>
      </c>
      <c r="N32" s="3" t="inlineStr">
        <is>
          <t>phongvo2440</t>
        </is>
      </c>
      <c r="O32" s="4" t="inlineStr"/>
      <c r="P32" s="4" t="inlineStr"/>
    </row>
    <row r="33" ht="24" customHeight="1">
      <c r="A33" s="3" t="inlineStr">
        <is>
          <t>2216483</t>
        </is>
      </c>
      <c r="B33" s="3" t="inlineStr"/>
      <c r="C33" s="4" t="inlineStr">
        <is>
          <t>[CR] [2216483] [MSD] LOYALTY SYSTEM ON MOBILE APP</t>
        </is>
      </c>
      <c r="D33" s="3" t="inlineStr">
        <is>
          <t>Team Mobile</t>
        </is>
      </c>
      <c r="E33" s="3" t="inlineStr">
        <is>
          <t>CR</t>
        </is>
      </c>
      <c r="F33" s="3" t="inlineStr">
        <is>
          <t>MSD</t>
        </is>
      </c>
      <c r="G33" s="3" t="inlineStr">
        <is>
          <t>Medium</t>
        </is>
      </c>
      <c r="H33" s="3" t="inlineStr"/>
      <c r="I33" s="3" t="inlineStr">
        <is>
          <t>Q2</t>
        </is>
      </c>
      <c r="J33" s="3" t="inlineStr"/>
      <c r="K33" s="3" t="inlineStr">
        <is>
          <t>phongvo@phs.vn</t>
        </is>
      </c>
      <c r="L33" s="3" t="inlineStr"/>
      <c r="M33" s="3" t="inlineStr"/>
      <c r="N33" s="3" t="inlineStr">
        <is>
          <t>phongvo2440</t>
        </is>
      </c>
      <c r="O33" s="4" t="inlineStr">
        <is>
          <t>2216483</t>
        </is>
      </c>
      <c r="P33" s="4" t="inlineStr"/>
    </row>
    <row r="34" ht="24" customHeight="1">
      <c r="A34" s="3" t="inlineStr">
        <is>
          <t>2400512</t>
        </is>
      </c>
      <c r="B34" s="3" t="inlineStr"/>
      <c r="C34" s="4" t="inlineStr">
        <is>
          <t>[SDK] [2400512] Upgrade the iOS and Android SDKs in accordance with the requirements of Apple and Google</t>
        </is>
      </c>
      <c r="D34" s="3" t="inlineStr">
        <is>
          <t>Team Mobile</t>
        </is>
      </c>
      <c r="E34" s="3" t="inlineStr">
        <is>
          <t>SDK</t>
        </is>
      </c>
      <c r="F34" s="3" t="inlineStr"/>
      <c r="G34" s="3" t="inlineStr">
        <is>
          <t>Medium</t>
        </is>
      </c>
      <c r="H34" s="3" t="inlineStr"/>
      <c r="I34" s="3" t="inlineStr">
        <is>
          <t>Q2</t>
        </is>
      </c>
      <c r="J34" s="3" t="inlineStr"/>
      <c r="K34" s="3" t="inlineStr">
        <is>
          <t>phongvo@phs.vn</t>
        </is>
      </c>
      <c r="L34" s="3" t="inlineStr"/>
      <c r="M34" s="3" t="inlineStr">
        <is>
          <t>phongvo2440</t>
        </is>
      </c>
      <c r="N34" s="3" t="inlineStr">
        <is>
          <t>phongvo2440</t>
        </is>
      </c>
      <c r="O34" s="4" t="inlineStr"/>
      <c r="P34" s="4" t="inlineStr"/>
    </row>
    <row r="35" ht="24" customHeight="1">
      <c r="A35" s="3" t="inlineStr">
        <is>
          <t>2222464</t>
        </is>
      </c>
      <c r="B35" s="3" t="inlineStr"/>
      <c r="C35" s="4" t="inlineStr">
        <is>
          <t>[CR] [2222464] [RMD] Add sign-in method</t>
        </is>
      </c>
      <c r="D35" s="3" t="inlineStr">
        <is>
          <t>Team Mobile</t>
        </is>
      </c>
      <c r="E35" s="3" t="inlineStr">
        <is>
          <t>CR</t>
        </is>
      </c>
      <c r="F35" s="3" t="inlineStr">
        <is>
          <t>RMD</t>
        </is>
      </c>
      <c r="G35" s="3" t="inlineStr">
        <is>
          <t>Medium</t>
        </is>
      </c>
      <c r="H35" s="3" t="inlineStr"/>
      <c r="I35" s="3" t="inlineStr">
        <is>
          <t>Q2</t>
        </is>
      </c>
      <c r="J35" s="3" t="inlineStr"/>
      <c r="K35" s="3" t="inlineStr">
        <is>
          <t>phongvo@phs.vn</t>
        </is>
      </c>
      <c r="L35" s="3" t="inlineStr"/>
      <c r="M35" s="3" t="inlineStr">
        <is>
          <t>phongvo2440</t>
        </is>
      </c>
      <c r="N35" s="3" t="inlineStr">
        <is>
          <t>phongvo2440</t>
        </is>
      </c>
      <c r="O35" s="4" t="inlineStr">
        <is>
          <t>2222464</t>
        </is>
      </c>
      <c r="P35" s="4" t="inlineStr"/>
    </row>
    <row r="36" ht="24" customHeight="1">
      <c r="A36" s="3" t="inlineStr">
        <is>
          <t>2212813</t>
        </is>
      </c>
      <c r="B36" s="3" t="inlineStr"/>
      <c r="C36" s="4" t="inlineStr">
        <is>
          <t>[CR] [2212813] [SS] Derivatives Order Placement UI Enhancement</t>
        </is>
      </c>
      <c r="D36" s="3" t="inlineStr">
        <is>
          <t>Team Mobile</t>
        </is>
      </c>
      <c r="E36" s="3" t="inlineStr">
        <is>
          <t>CR</t>
        </is>
      </c>
      <c r="F36" s="3" t="inlineStr">
        <is>
          <t>SS</t>
        </is>
      </c>
      <c r="G36" s="3" t="inlineStr">
        <is>
          <t>Low</t>
        </is>
      </c>
      <c r="H36" s="3" t="inlineStr"/>
      <c r="I36" s="3" t="inlineStr">
        <is>
          <t>Q2</t>
        </is>
      </c>
      <c r="J36" s="3" t="inlineStr"/>
      <c r="K36" s="3" t="inlineStr">
        <is>
          <t>phongvo@phs.vn</t>
        </is>
      </c>
      <c r="L36" s="3" t="inlineStr"/>
      <c r="M36" s="3" t="inlineStr"/>
      <c r="N36" s="3" t="inlineStr">
        <is>
          <t>phongvo2440</t>
        </is>
      </c>
      <c r="O36" s="4" t="inlineStr"/>
      <c r="P36" s="4" t="inlineStr"/>
    </row>
    <row r="37" ht="24" customHeight="1">
      <c r="A37" s="3" t="inlineStr">
        <is>
          <t>2174942</t>
        </is>
      </c>
      <c r="B37" s="3" t="inlineStr"/>
      <c r="C37" s="4" t="inlineStr">
        <is>
          <t>[CR] [2174942] [MSD] Automation Test Proposal</t>
        </is>
      </c>
      <c r="D37" s="3" t="inlineStr">
        <is>
          <t>Team Mobile</t>
        </is>
      </c>
      <c r="E37" s="3" t="inlineStr">
        <is>
          <t>CR</t>
        </is>
      </c>
      <c r="F37" s="3" t="inlineStr">
        <is>
          <t>MSD</t>
        </is>
      </c>
      <c r="G37" s="3" t="inlineStr">
        <is>
          <t>Medium</t>
        </is>
      </c>
      <c r="H37" s="3" t="inlineStr"/>
      <c r="I37" s="3" t="inlineStr">
        <is>
          <t>Backlog</t>
        </is>
      </c>
      <c r="J37" s="3" t="inlineStr"/>
      <c r="K37" s="3" t="inlineStr">
        <is>
          <t>phongvo@phs.vn</t>
        </is>
      </c>
      <c r="L37" s="3" t="inlineStr"/>
      <c r="M37" s="3" t="inlineStr">
        <is>
          <t>phongvo2440</t>
        </is>
      </c>
      <c r="N37" s="3" t="inlineStr">
        <is>
          <t>phongvo2440</t>
        </is>
      </c>
      <c r="O37" s="4" t="inlineStr"/>
      <c r="P37" s="4" t="inlineStr"/>
    </row>
    <row r="38" ht="24" customHeight="1">
      <c r="A38" s="3" t="inlineStr">
        <is>
          <t>2289280</t>
        </is>
      </c>
      <c r="B38" s="3" t="inlineStr"/>
      <c r="C38" s="4" t="inlineStr">
        <is>
          <t>[CR] [2289280] [FN] Future-Dated Withdrawal Scheduling for Customers</t>
        </is>
      </c>
      <c r="D38" s="3" t="inlineStr">
        <is>
          <t>Team Mobile</t>
        </is>
      </c>
      <c r="E38" s="3" t="inlineStr">
        <is>
          <t>CR</t>
        </is>
      </c>
      <c r="F38" s="3" t="inlineStr">
        <is>
          <t>FN</t>
        </is>
      </c>
      <c r="G38" s="3" t="inlineStr">
        <is>
          <t>Medium</t>
        </is>
      </c>
      <c r="H38" s="3" t="inlineStr"/>
      <c r="I38" s="3" t="inlineStr">
        <is>
          <t>Backlog</t>
        </is>
      </c>
      <c r="J38" s="3" t="inlineStr"/>
      <c r="K38" s="3" t="inlineStr">
        <is>
          <t>phongvo@phs.vn</t>
        </is>
      </c>
      <c r="L38" s="3" t="inlineStr"/>
      <c r="M38" s="3" t="inlineStr"/>
      <c r="N38" s="3" t="inlineStr">
        <is>
          <t>phongvo2440</t>
        </is>
      </c>
      <c r="O38" s="4" t="inlineStr">
        <is>
          <t>2289280</t>
        </is>
      </c>
      <c r="P38" s="4" t="inlineStr"/>
    </row>
    <row r="39" ht="24" customHeight="1">
      <c r="A39" s="3" t="inlineStr">
        <is>
          <t>2317336</t>
        </is>
      </c>
      <c r="B39" s="3" t="inlineStr"/>
      <c r="C39" s="4" t="inlineStr">
        <is>
          <t>[CR] [2317336] [AC] Proposal to implement an automated cash dividend reinvestment service (Auto-DRIP) on PHS Elite app</t>
        </is>
      </c>
      <c r="D39" s="3" t="inlineStr">
        <is>
          <t>Team Mobile</t>
        </is>
      </c>
      <c r="E39" s="3" t="inlineStr">
        <is>
          <t>CR</t>
        </is>
      </c>
      <c r="F39" s="3" t="inlineStr">
        <is>
          <t>AC</t>
        </is>
      </c>
      <c r="G39" s="3" t="inlineStr">
        <is>
          <t>Low</t>
        </is>
      </c>
      <c r="H39" s="3" t="inlineStr"/>
      <c r="I39" s="3" t="inlineStr">
        <is>
          <t>Backlog</t>
        </is>
      </c>
      <c r="J39" s="3" t="inlineStr"/>
      <c r="K39" s="3" t="inlineStr">
        <is>
          <t>phongvo@phs.vn</t>
        </is>
      </c>
      <c r="L39" s="3" t="inlineStr"/>
      <c r="M39" s="3" t="inlineStr"/>
      <c r="N39" s="3" t="inlineStr">
        <is>
          <t>phongvo2440</t>
        </is>
      </c>
      <c r="O39" s="4" t="inlineStr"/>
      <c r="P39" s="4" t="inlineStr"/>
    </row>
    <row r="40" ht="24" customHeight="1">
      <c r="A40" s="3" t="inlineStr">
        <is>
          <t>2307583</t>
        </is>
      </c>
      <c r="B40" s="3" t="inlineStr"/>
      <c r="C40" s="4" t="inlineStr">
        <is>
          <t>[CR] [2307583] PHS BondTerm – Fixed-Tenor Bond Investment Package (via Listed Bonds</t>
        </is>
      </c>
      <c r="D40" s="3" t="inlineStr">
        <is>
          <t>Team Mobile</t>
        </is>
      </c>
      <c r="E40" s="3" t="inlineStr">
        <is>
          <t>CR</t>
        </is>
      </c>
      <c r="F40" s="3" t="inlineStr"/>
      <c r="G40" s="3" t="inlineStr">
        <is>
          <t>Medium</t>
        </is>
      </c>
      <c r="H40" s="3" t="inlineStr"/>
      <c r="I40" s="3" t="inlineStr">
        <is>
          <t>Backlog</t>
        </is>
      </c>
      <c r="J40" s="3" t="inlineStr"/>
      <c r="K40" s="3" t="inlineStr">
        <is>
          <t>phongvo@phs.vn</t>
        </is>
      </c>
      <c r="L40" s="3" t="inlineStr"/>
      <c r="M40" s="3" t="inlineStr">
        <is>
          <t>phongvo2440</t>
        </is>
      </c>
      <c r="N40" s="3" t="inlineStr">
        <is>
          <t>phongvo2440</t>
        </is>
      </c>
      <c r="O40" s="4" t="inlineStr"/>
      <c r="P40" s="4" t="inlineStr"/>
    </row>
    <row r="41" ht="24" customHeight="1">
      <c r="A41" s="3" t="inlineStr">
        <is>
          <t>2330515</t>
        </is>
      </c>
      <c r="B41" s="3" t="inlineStr"/>
      <c r="C41" s="4" t="inlineStr">
        <is>
          <t>[CR] [2330515] IPO Share Subscription Feature</t>
        </is>
      </c>
      <c r="D41" s="3" t="inlineStr">
        <is>
          <t>Team Mobile</t>
        </is>
      </c>
      <c r="E41" s="3" t="inlineStr">
        <is>
          <t>CR</t>
        </is>
      </c>
      <c r="F41" s="3" t="inlineStr"/>
      <c r="G41" s="3" t="inlineStr">
        <is>
          <t>Medium</t>
        </is>
      </c>
      <c r="H41" s="3" t="inlineStr"/>
      <c r="I41" s="3" t="inlineStr">
        <is>
          <t>Backlog</t>
        </is>
      </c>
      <c r="J41" s="3" t="inlineStr"/>
      <c r="K41" s="3" t="inlineStr">
        <is>
          <t>phongvo@phs.vn</t>
        </is>
      </c>
      <c r="L41" s="3" t="inlineStr"/>
      <c r="M41" s="3" t="inlineStr">
        <is>
          <t>phongvo2440</t>
        </is>
      </c>
      <c r="N41" s="3" t="inlineStr">
        <is>
          <t>phongvo2440</t>
        </is>
      </c>
      <c r="O41" s="4" t="inlineStr">
        <is>
          <t>2330515</t>
        </is>
      </c>
      <c r="P41" s="4" t="inlineStr"/>
    </row>
    <row r="42" ht="24" customHeight="1">
      <c r="A42" s="3" t="inlineStr">
        <is>
          <t>2376660</t>
        </is>
      </c>
      <c r="B42" s="3" t="inlineStr"/>
      <c r="C42" s="4" t="inlineStr">
        <is>
          <t>[CR] [2376660] Assessment of Requirements from RAR Center for the VNeID Integration into the eKYC Account Opening Process Project</t>
        </is>
      </c>
      <c r="D42" s="3" t="inlineStr">
        <is>
          <t>Team Mobile</t>
        </is>
      </c>
      <c r="E42" s="3" t="inlineStr">
        <is>
          <t>CR</t>
        </is>
      </c>
      <c r="F42" s="3" t="inlineStr"/>
      <c r="G42" s="3" t="inlineStr">
        <is>
          <t>Medium</t>
        </is>
      </c>
      <c r="H42" s="3" t="inlineStr"/>
      <c r="I42" s="3" t="inlineStr">
        <is>
          <t>Backlog</t>
        </is>
      </c>
      <c r="J42" s="3" t="inlineStr"/>
      <c r="K42" s="3" t="inlineStr">
        <is>
          <t>phongvo@phs.vn</t>
        </is>
      </c>
      <c r="L42" s="3" t="inlineStr"/>
      <c r="M42" s="3" t="inlineStr">
        <is>
          <t>phongvo2440</t>
        </is>
      </c>
      <c r="N42" s="3" t="inlineStr">
        <is>
          <t>phongvo2440</t>
        </is>
      </c>
      <c r="O42" s="4" t="inlineStr"/>
      <c r="P42" s="4" t="inlineStr"/>
    </row>
    <row r="43" ht="24" customHeight="1">
      <c r="A43" s="3" t="inlineStr">
        <is>
          <t>2397922</t>
        </is>
      </c>
      <c r="B43" s="3" t="inlineStr"/>
      <c r="C43" s="4" t="inlineStr">
        <is>
          <t>[CR] [2397922] Enhance filter for Elite Fund</t>
        </is>
      </c>
      <c r="D43" s="3" t="inlineStr">
        <is>
          <t>Team Mobile</t>
        </is>
      </c>
      <c r="E43" s="3" t="inlineStr">
        <is>
          <t>CR</t>
        </is>
      </c>
      <c r="F43" s="3" t="inlineStr"/>
      <c r="G43" s="3" t="inlineStr">
        <is>
          <t>Medium</t>
        </is>
      </c>
      <c r="H43" s="3" t="inlineStr"/>
      <c r="I43" s="3" t="inlineStr">
        <is>
          <t>Backlog</t>
        </is>
      </c>
      <c r="J43" s="3" t="inlineStr"/>
      <c r="K43" s="3" t="inlineStr">
        <is>
          <t>phongvo@phs.vn</t>
        </is>
      </c>
      <c r="L43" s="3" t="inlineStr"/>
      <c r="M43" s="3" t="inlineStr">
        <is>
          <t>phongvo2440</t>
        </is>
      </c>
      <c r="N43" s="3" t="inlineStr">
        <is>
          <t>phongvo2440</t>
        </is>
      </c>
      <c r="O43" s="4" t="inlineStr"/>
      <c r="P43" s="4" t="inlineStr"/>
    </row>
    <row r="44" ht="24" customHeight="1">
      <c r="A44" s="3" t="inlineStr">
        <is>
          <t>2415056</t>
        </is>
      </c>
      <c r="B44" s="3" t="inlineStr"/>
      <c r="C44" s="4" t="inlineStr">
        <is>
          <t>[CR] [2415056] [MKT] Implementation of “Partner Offers” on PHS Mobile App</t>
        </is>
      </c>
      <c r="D44" s="3" t="inlineStr">
        <is>
          <t>Team Mobile</t>
        </is>
      </c>
      <c r="E44" s="3" t="inlineStr">
        <is>
          <t>CR</t>
        </is>
      </c>
      <c r="F44" s="3" t="inlineStr">
        <is>
          <t>MKT</t>
        </is>
      </c>
      <c r="G44" s="3" t="inlineStr">
        <is>
          <t>Medium</t>
        </is>
      </c>
      <c r="H44" s="3" t="inlineStr"/>
      <c r="I44" s="3" t="inlineStr">
        <is>
          <t>Backlog</t>
        </is>
      </c>
      <c r="J44" s="3" t="inlineStr"/>
      <c r="K44" s="3" t="inlineStr">
        <is>
          <t>phongvo@phs.vn</t>
        </is>
      </c>
      <c r="L44" s="3" t="inlineStr"/>
      <c r="M44" s="3" t="inlineStr">
        <is>
          <t>phongvo2440</t>
        </is>
      </c>
      <c r="N44" s="3" t="inlineStr">
        <is>
          <t>phongvo2440</t>
        </is>
      </c>
      <c r="O44" s="4" t="inlineStr">
        <is>
          <t>2415056</t>
        </is>
      </c>
      <c r="P44" s="4" t="inlineStr"/>
    </row>
    <row r="45" ht="24" customHeight="1">
      <c r="A45" s="3" t="inlineStr">
        <is>
          <t>2291957</t>
        </is>
      </c>
      <c r="B45" s="3" t="inlineStr"/>
      <c r="C45" s="4" t="inlineStr">
        <is>
          <t>[CR] [2291957] [IC] Update the account opening function on the PHS Elite app login screen</t>
        </is>
      </c>
      <c r="D45" s="3" t="inlineStr">
        <is>
          <t>Team Mobile</t>
        </is>
      </c>
      <c r="E45" s="3" t="inlineStr">
        <is>
          <t>CR</t>
        </is>
      </c>
      <c r="F45" s="3" t="inlineStr">
        <is>
          <t>IC</t>
        </is>
      </c>
      <c r="G45" s="3" t="inlineStr">
        <is>
          <t>Medium</t>
        </is>
      </c>
      <c r="H45" s="3" t="inlineStr"/>
      <c r="I45" s="3" t="inlineStr">
        <is>
          <t>Backlog</t>
        </is>
      </c>
      <c r="J45" s="3" t="inlineStr"/>
      <c r="K45" s="3" t="inlineStr">
        <is>
          <t>phongvo@phs.vn</t>
        </is>
      </c>
      <c r="L45" s="3" t="inlineStr"/>
      <c r="M45" s="3" t="inlineStr">
        <is>
          <t>phongvo2440</t>
        </is>
      </c>
      <c r="N45" s="3" t="inlineStr">
        <is>
          <t>phongvo2440</t>
        </is>
      </c>
      <c r="O45" s="4" t="inlineStr"/>
      <c r="P45" s="4" t="inlineStr"/>
    </row>
    <row r="46" ht="24" customHeight="1">
      <c r="A46" s="3" t="inlineStr">
        <is>
          <t>2482578</t>
        </is>
      </c>
      <c r="B46" s="3" t="inlineStr"/>
      <c r="C46" s="4" t="inlineStr">
        <is>
          <t>[CR] [2482578] [AC] Upgrade the QR Code Deposit Function on the PHS App</t>
        </is>
      </c>
      <c r="D46" s="3" t="inlineStr">
        <is>
          <t>Team Mobile</t>
        </is>
      </c>
      <c r="E46" s="3" t="inlineStr">
        <is>
          <t>CR</t>
        </is>
      </c>
      <c r="F46" s="3" t="inlineStr">
        <is>
          <t>AC</t>
        </is>
      </c>
      <c r="G46" s="3" t="inlineStr">
        <is>
          <t>Medium</t>
        </is>
      </c>
      <c r="H46" s="3" t="inlineStr"/>
      <c r="I46" s="3" t="inlineStr">
        <is>
          <t>Backlog</t>
        </is>
      </c>
      <c r="J46" s="3" t="inlineStr"/>
      <c r="K46" s="3" t="inlineStr">
        <is>
          <t>phongvo@phs.vn</t>
        </is>
      </c>
      <c r="L46" s="3" t="inlineStr"/>
      <c r="M46" s="3" t="inlineStr">
        <is>
          <t>phongvo2440</t>
        </is>
      </c>
      <c r="N46" s="3" t="inlineStr">
        <is>
          <t>phongvo2440</t>
        </is>
      </c>
      <c r="O46" s="4" t="inlineStr"/>
      <c r="P46" s="4" t="inlineStr"/>
    </row>
    <row r="47" ht="24" customHeight="1">
      <c r="A47" s="3" t="inlineStr"/>
      <c r="B47" s="3" t="inlineStr"/>
      <c r="C47" s="4" t="inlineStr">
        <is>
          <t>[CR] [2310394 - 2391899] [KT] [No.01-2026] Tax analysis and estimation tools for investors.</t>
        </is>
      </c>
      <c r="D47" s="3" t="inlineStr">
        <is>
          <t>MW Team</t>
        </is>
      </c>
      <c r="E47" s="3" t="inlineStr">
        <is>
          <t>CR</t>
        </is>
      </c>
      <c r="F47" s="3" t="inlineStr"/>
      <c r="G47" s="3" t="inlineStr">
        <is>
          <t>Medium</t>
        </is>
      </c>
      <c r="H47" s="3" t="inlineStr"/>
      <c r="I47" s="3" t="inlineStr">
        <is>
          <t>Q2</t>
        </is>
      </c>
      <c r="J47" s="3" t="inlineStr"/>
      <c r="K47" s="3" t="inlineStr">
        <is>
          <t>huunguyen@phs.vn</t>
        </is>
      </c>
      <c r="L47" s="3" t="inlineStr"/>
      <c r="M47" s="3" t="inlineStr">
        <is>
          <t>huunguyen2525</t>
        </is>
      </c>
      <c r="N47" s="3" t="inlineStr">
        <is>
          <t>huunguyen2525</t>
        </is>
      </c>
      <c r="O47" s="4" t="inlineStr"/>
      <c r="P47" s="4" t="inlineStr"/>
    </row>
    <row r="48" ht="24" customHeight="1">
      <c r="A48" s="3" t="inlineStr">
        <is>
          <t>2446191</t>
        </is>
      </c>
      <c r="B48" s="3" t="inlineStr"/>
      <c r="C48" s="4" t="inlineStr">
        <is>
          <t>[CR] [2446191] [MSD] [No.08-2026] VCF0051 – Adjust Report Extraction Conditions</t>
        </is>
      </c>
      <c r="D48" s="3" t="inlineStr">
        <is>
          <t>MW Team</t>
        </is>
      </c>
      <c r="E48" s="3" t="inlineStr">
        <is>
          <t>CR</t>
        </is>
      </c>
      <c r="F48" s="3" t="inlineStr">
        <is>
          <t>MSD</t>
        </is>
      </c>
      <c r="G48" s="3" t="inlineStr">
        <is>
          <t>Medium</t>
        </is>
      </c>
      <c r="H48" s="3" t="inlineStr"/>
      <c r="I48" s="3" t="inlineStr">
        <is>
          <t>Q2</t>
        </is>
      </c>
      <c r="J48" s="3" t="inlineStr"/>
      <c r="K48" s="3" t="inlineStr">
        <is>
          <t>huunguyen@phs.vn</t>
        </is>
      </c>
      <c r="L48" s="3" t="inlineStr"/>
      <c r="M48" s="3" t="inlineStr">
        <is>
          <t>huunguyen2525</t>
        </is>
      </c>
      <c r="N48" s="3" t="inlineStr">
        <is>
          <t>huunguyen2525</t>
        </is>
      </c>
      <c r="O48" s="4" t="inlineStr"/>
      <c r="P48" s="4" t="inlineStr"/>
    </row>
    <row r="49" ht="24" customHeight="1">
      <c r="A49" s="3" t="inlineStr">
        <is>
          <t>2238356</t>
        </is>
      </c>
      <c r="B49" s="3" t="inlineStr"/>
      <c r="C49" s="4" t="inlineStr">
        <is>
          <t>[CR] [2238356] [MSD] [No.27-2025]ADVANCE MARGIN FOR DERIVATIVES</t>
        </is>
      </c>
      <c r="D49" s="3" t="inlineStr">
        <is>
          <t>MW Team</t>
        </is>
      </c>
      <c r="E49" s="3" t="inlineStr">
        <is>
          <t>CR</t>
        </is>
      </c>
      <c r="F49" s="3" t="inlineStr">
        <is>
          <t>MSD</t>
        </is>
      </c>
      <c r="G49" s="3" t="inlineStr">
        <is>
          <t>Medium</t>
        </is>
      </c>
      <c r="H49" s="3" t="inlineStr"/>
      <c r="I49" s="3" t="inlineStr">
        <is>
          <t>Q2</t>
        </is>
      </c>
      <c r="J49" s="3" t="inlineStr"/>
      <c r="K49" s="3" t="inlineStr">
        <is>
          <t>huunguyen@phs.vn</t>
        </is>
      </c>
      <c r="L49" s="3" t="inlineStr"/>
      <c r="M49" s="3" t="inlineStr">
        <is>
          <t>huunguyen2525</t>
        </is>
      </c>
      <c r="N49" s="3" t="inlineStr">
        <is>
          <t>huunguyen2525</t>
        </is>
      </c>
      <c r="O49" s="4" t="inlineStr">
        <is>
          <t>2238356</t>
        </is>
      </c>
      <c r="P49" s="4" t="inlineStr"/>
    </row>
    <row r="50" ht="24" customHeight="1">
      <c r="A50" s="3" t="inlineStr">
        <is>
          <t>2084592</t>
        </is>
      </c>
      <c r="B50" s="3" t="inlineStr"/>
      <c r="C50" s="4" t="inlineStr">
        <is>
          <t>[CR] [2084592] [RMD] [No.10-2025] Calculate interest for accounts using special interest rate products</t>
        </is>
      </c>
      <c r="D50" s="3" t="inlineStr">
        <is>
          <t>MW Team</t>
        </is>
      </c>
      <c r="E50" s="3" t="inlineStr">
        <is>
          <t>CR</t>
        </is>
      </c>
      <c r="F50" s="3" t="inlineStr">
        <is>
          <t>RMD</t>
        </is>
      </c>
      <c r="G50" s="3" t="inlineStr">
        <is>
          <t>Medium</t>
        </is>
      </c>
      <c r="H50" s="3" t="inlineStr"/>
      <c r="I50" s="3" t="inlineStr">
        <is>
          <t>Q2</t>
        </is>
      </c>
      <c r="J50" s="3" t="inlineStr"/>
      <c r="K50" s="3" t="inlineStr">
        <is>
          <t>huunguyen@phs.vn</t>
        </is>
      </c>
      <c r="L50" s="3" t="inlineStr"/>
      <c r="M50" s="3" t="inlineStr">
        <is>
          <t>huunguyen2525</t>
        </is>
      </c>
      <c r="N50" s="3" t="inlineStr">
        <is>
          <t>huunguyen2525</t>
        </is>
      </c>
      <c r="O50" s="4" t="inlineStr">
        <is>
          <t>2084592</t>
        </is>
      </c>
      <c r="P50" s="4" t="inlineStr"/>
    </row>
    <row r="51" ht="24" customHeight="1">
      <c r="A51" s="3" t="inlineStr">
        <is>
          <t>2222464</t>
        </is>
      </c>
      <c r="B51" s="3" t="inlineStr"/>
      <c r="C51" s="4" t="inlineStr">
        <is>
          <t>[CR] [2222464] [RMD] [No.09-2025] Add sign-in method</t>
        </is>
      </c>
      <c r="D51" s="3" t="inlineStr">
        <is>
          <t>MW Team</t>
        </is>
      </c>
      <c r="E51" s="3" t="inlineStr">
        <is>
          <t>CR</t>
        </is>
      </c>
      <c r="F51" s="3" t="inlineStr">
        <is>
          <t>RMD</t>
        </is>
      </c>
      <c r="G51" s="3" t="inlineStr">
        <is>
          <t>Medium</t>
        </is>
      </c>
      <c r="H51" s="3" t="inlineStr"/>
      <c r="I51" s="3" t="inlineStr">
        <is>
          <t>Q2</t>
        </is>
      </c>
      <c r="J51" s="3" t="inlineStr"/>
      <c r="K51" s="3" t="inlineStr">
        <is>
          <t>huunguyen@phs.vn</t>
        </is>
      </c>
      <c r="L51" s="3" t="inlineStr"/>
      <c r="M51" s="3" t="inlineStr">
        <is>
          <t>huunguyen2525</t>
        </is>
      </c>
      <c r="N51" s="3" t="inlineStr">
        <is>
          <t>huunguyen2525</t>
        </is>
      </c>
      <c r="O51" s="4" t="inlineStr">
        <is>
          <t>2222464</t>
        </is>
      </c>
      <c r="P51" s="4" t="inlineStr"/>
    </row>
    <row r="52" ht="24" customHeight="1">
      <c r="A52" s="3" t="inlineStr">
        <is>
          <t>2443571</t>
        </is>
      </c>
      <c r="B52" s="3" t="inlineStr"/>
      <c r="C52" s="4" t="inlineStr">
        <is>
          <t>[CR] [2443571] [SS] [No.09-2026] Restrict using PHS email address for securities transactions</t>
        </is>
      </c>
      <c r="D52" s="3" t="inlineStr">
        <is>
          <t>MW Team</t>
        </is>
      </c>
      <c r="E52" s="3" t="inlineStr">
        <is>
          <t>CR</t>
        </is>
      </c>
      <c r="F52" s="3" t="inlineStr">
        <is>
          <t>SS</t>
        </is>
      </c>
      <c r="G52" s="3" t="inlineStr">
        <is>
          <t>Medium</t>
        </is>
      </c>
      <c r="H52" s="3" t="inlineStr"/>
      <c r="I52" s="3" t="inlineStr">
        <is>
          <t>Q2</t>
        </is>
      </c>
      <c r="J52" s="3" t="inlineStr"/>
      <c r="K52" s="3" t="inlineStr">
        <is>
          <t>huunguyen@phs.vn</t>
        </is>
      </c>
      <c r="L52" s="3" t="inlineStr"/>
      <c r="M52" s="3" t="inlineStr">
        <is>
          <t>huunguyen2525</t>
        </is>
      </c>
      <c r="N52" s="3" t="inlineStr">
        <is>
          <t>huunguyen2525</t>
        </is>
      </c>
      <c r="O52" s="4" t="inlineStr"/>
      <c r="P52" s="4" t="inlineStr"/>
    </row>
    <row r="53" ht="24" customHeight="1">
      <c r="A53" s="3" t="inlineStr">
        <is>
          <t>2149046</t>
        </is>
      </c>
      <c r="B53" s="3" t="inlineStr"/>
      <c r="C53" s="4" t="inlineStr">
        <is>
          <t>[CR] [2149046] [SS] [No.28-2025] Adjustment of the account opening flow on the PHS ELITE TRADING application</t>
        </is>
      </c>
      <c r="D53" s="3" t="inlineStr">
        <is>
          <t>MW Team</t>
        </is>
      </c>
      <c r="E53" s="3" t="inlineStr">
        <is>
          <t>CR</t>
        </is>
      </c>
      <c r="F53" s="3" t="inlineStr">
        <is>
          <t>SS</t>
        </is>
      </c>
      <c r="G53" s="3" t="inlineStr">
        <is>
          <t>Medium</t>
        </is>
      </c>
      <c r="H53" s="3" t="inlineStr"/>
      <c r="I53" s="3" t="inlineStr">
        <is>
          <t>Q2</t>
        </is>
      </c>
      <c r="J53" s="3" t="inlineStr"/>
      <c r="K53" s="3" t="inlineStr">
        <is>
          <t>huunguyen@phs.vn</t>
        </is>
      </c>
      <c r="L53" s="3" t="inlineStr"/>
      <c r="M53" s="3" t="inlineStr">
        <is>
          <t>huunguyen2525</t>
        </is>
      </c>
      <c r="N53" s="3" t="inlineStr">
        <is>
          <t>huunguyen2525</t>
        </is>
      </c>
      <c r="O53" s="4" t="inlineStr">
        <is>
          <t>2149046</t>
        </is>
      </c>
      <c r="P53" s="4" t="inlineStr"/>
    </row>
    <row r="54" ht="24" customHeight="1">
      <c r="A54" s="3" t="inlineStr">
        <is>
          <t>2133352</t>
        </is>
      </c>
      <c r="B54" s="3" t="inlineStr"/>
      <c r="C54" s="4" t="inlineStr">
        <is>
          <t>[CR] [2133352] [RMD] [No.12-2025] Margin product calculation tool</t>
        </is>
      </c>
      <c r="D54" s="3" t="inlineStr">
        <is>
          <t>MW Team</t>
        </is>
      </c>
      <c r="E54" s="3" t="inlineStr">
        <is>
          <t>CR</t>
        </is>
      </c>
      <c r="F54" s="3" t="inlineStr">
        <is>
          <t>RMD</t>
        </is>
      </c>
      <c r="G54" s="3" t="inlineStr">
        <is>
          <t>Medium</t>
        </is>
      </c>
      <c r="H54" s="3" t="inlineStr"/>
      <c r="I54" s="3" t="inlineStr">
        <is>
          <t>Q2</t>
        </is>
      </c>
      <c r="J54" s="3" t="inlineStr"/>
      <c r="K54" s="3" t="inlineStr">
        <is>
          <t>huunguyen@phs.vn</t>
        </is>
      </c>
      <c r="L54" s="3" t="inlineStr"/>
      <c r="M54" s="3" t="inlineStr">
        <is>
          <t>huunguyen2525</t>
        </is>
      </c>
      <c r="N54" s="3" t="inlineStr">
        <is>
          <t>huunguyen2525</t>
        </is>
      </c>
      <c r="O54" s="4" t="inlineStr">
        <is>
          <t>2133352</t>
        </is>
      </c>
      <c r="P54" s="4" t="inlineStr"/>
    </row>
    <row r="55" ht="24" customHeight="1">
      <c r="A55" s="3" t="inlineStr">
        <is>
          <t>2246969</t>
        </is>
      </c>
      <c r="B55" s="3" t="inlineStr"/>
      <c r="C55" s="4" t="inlineStr">
        <is>
          <t>[CR] [2246969] [DTD] [No.39-2025] Add PCA trading stock labels and implement stock filtering features on the PHS Elite app</t>
        </is>
      </c>
      <c r="D55" s="3" t="inlineStr">
        <is>
          <t>MW Team</t>
        </is>
      </c>
      <c r="E55" s="3" t="inlineStr">
        <is>
          <t>CR</t>
        </is>
      </c>
      <c r="F55" s="3" t="inlineStr">
        <is>
          <t>DTD</t>
        </is>
      </c>
      <c r="G55" s="3" t="inlineStr">
        <is>
          <t>Medium</t>
        </is>
      </c>
      <c r="H55" s="3" t="inlineStr"/>
      <c r="I55" s="3" t="inlineStr">
        <is>
          <t>Q2</t>
        </is>
      </c>
      <c r="J55" s="3" t="inlineStr"/>
      <c r="K55" s="3" t="inlineStr">
        <is>
          <t>huunguyen@phs.vn</t>
        </is>
      </c>
      <c r="L55" s="3" t="inlineStr"/>
      <c r="M55" s="3" t="inlineStr">
        <is>
          <t>huunguyen2525</t>
        </is>
      </c>
      <c r="N55" s="3" t="inlineStr">
        <is>
          <t>huunguyen2525</t>
        </is>
      </c>
      <c r="O55" s="4" t="inlineStr"/>
      <c r="P55" s="4" t="inlineStr"/>
    </row>
    <row r="56" ht="24" customHeight="1">
      <c r="A56" s="3" t="inlineStr">
        <is>
          <t>2106995</t>
        </is>
      </c>
      <c r="B56" s="3" t="inlineStr"/>
      <c r="C56" s="4" t="inlineStr">
        <is>
          <t>[CR] [2106995] [DTD] [No.25-2025] Add put-through order trading feature on PHS ELITE XPRO</t>
        </is>
      </c>
      <c r="D56" s="3" t="inlineStr">
        <is>
          <t>MW Team</t>
        </is>
      </c>
      <c r="E56" s="3" t="inlineStr">
        <is>
          <t>CR</t>
        </is>
      </c>
      <c r="F56" s="3" t="inlineStr">
        <is>
          <t>DTD</t>
        </is>
      </c>
      <c r="G56" s="3" t="inlineStr">
        <is>
          <t>Medium</t>
        </is>
      </c>
      <c r="H56" s="3" t="inlineStr"/>
      <c r="I56" s="3" t="inlineStr">
        <is>
          <t>Q2</t>
        </is>
      </c>
      <c r="J56" s="3" t="inlineStr"/>
      <c r="K56" s="3" t="inlineStr">
        <is>
          <t>huunguyen@phs.vn</t>
        </is>
      </c>
      <c r="L56" s="3" t="inlineStr"/>
      <c r="M56" s="3" t="inlineStr">
        <is>
          <t>huunguyen2525</t>
        </is>
      </c>
      <c r="N56" s="3" t="inlineStr">
        <is>
          <t>huunguyen2525</t>
        </is>
      </c>
      <c r="O56" s="4" t="inlineStr"/>
      <c r="P56" s="4" t="inlineStr"/>
    </row>
    <row r="57" ht="24" customHeight="1">
      <c r="A57" s="3" t="inlineStr">
        <is>
          <t>2275303</t>
        </is>
      </c>
      <c r="B57" s="3" t="inlineStr"/>
      <c r="C57" s="4" t="inlineStr">
        <is>
          <t>[CR] [2275303] [DTD] [No.1-2026] Enhance securities depository features via the PHS Elite Trading application</t>
        </is>
      </c>
      <c r="D57" s="3" t="inlineStr">
        <is>
          <t>MW Team</t>
        </is>
      </c>
      <c r="E57" s="3" t="inlineStr">
        <is>
          <t>CR</t>
        </is>
      </c>
      <c r="F57" s="3" t="inlineStr">
        <is>
          <t>DTD</t>
        </is>
      </c>
      <c r="G57" s="3" t="inlineStr">
        <is>
          <t>Medium</t>
        </is>
      </c>
      <c r="H57" s="3" t="inlineStr"/>
      <c r="I57" s="3" t="inlineStr">
        <is>
          <t>Q2</t>
        </is>
      </c>
      <c r="J57" s="3" t="inlineStr"/>
      <c r="K57" s="3" t="inlineStr">
        <is>
          <t>huunguyen@phs.vn</t>
        </is>
      </c>
      <c r="L57" s="3" t="inlineStr"/>
      <c r="M57" s="3" t="inlineStr">
        <is>
          <t>huunguyen2525</t>
        </is>
      </c>
      <c r="N57" s="3" t="inlineStr">
        <is>
          <t>huunguyen2525</t>
        </is>
      </c>
      <c r="O57" s="4" t="inlineStr">
        <is>
          <t>2275303</t>
        </is>
      </c>
      <c r="P57" s="4" t="inlineStr"/>
    </row>
    <row r="58" ht="24" customHeight="1">
      <c r="A58" s="3" t="inlineStr">
        <is>
          <t>2216483</t>
        </is>
      </c>
      <c r="B58" s="3" t="inlineStr"/>
      <c r="C58" s="4" t="inlineStr">
        <is>
          <t>[CR] [2216483] [MSD] [No.33-2025] Loyalty Customer System</t>
        </is>
      </c>
      <c r="D58" s="3" t="inlineStr">
        <is>
          <t>MW Team</t>
        </is>
      </c>
      <c r="E58" s="3" t="inlineStr">
        <is>
          <t>CR</t>
        </is>
      </c>
      <c r="F58" s="3" t="inlineStr">
        <is>
          <t>MSD</t>
        </is>
      </c>
      <c r="G58" s="3" t="inlineStr">
        <is>
          <t>Medium</t>
        </is>
      </c>
      <c r="H58" s="3" t="inlineStr"/>
      <c r="I58" s="3" t="inlineStr">
        <is>
          <t>Q2</t>
        </is>
      </c>
      <c r="J58" s="3" t="inlineStr"/>
      <c r="K58" s="3" t="inlineStr">
        <is>
          <t>huunguyen@phs.vn</t>
        </is>
      </c>
      <c r="L58" s="3" t="inlineStr"/>
      <c r="M58" s="3" t="inlineStr">
        <is>
          <t>huunguyen2525</t>
        </is>
      </c>
      <c r="N58" s="3" t="inlineStr">
        <is>
          <t>huunguyen2525</t>
        </is>
      </c>
      <c r="O58" s="4" t="inlineStr">
        <is>
          <t>2216483</t>
        </is>
      </c>
      <c r="P58" s="4" t="inlineStr"/>
    </row>
    <row r="59" ht="24" customHeight="1">
      <c r="A59" s="3" t="inlineStr">
        <is>
          <t>2437753</t>
        </is>
      </c>
      <c r="B59" s="3" t="inlineStr"/>
      <c r="C59" s="4" t="inlineStr">
        <is>
          <t>[CR] [2437753] [SS] [No.07-2026] AF &amp; LN Duplication &amp; Bulk Import Function</t>
        </is>
      </c>
      <c r="D59" s="3" t="inlineStr">
        <is>
          <t>MW Team</t>
        </is>
      </c>
      <c r="E59" s="3" t="inlineStr">
        <is>
          <t>CR</t>
        </is>
      </c>
      <c r="F59" s="3" t="inlineStr">
        <is>
          <t>SS</t>
        </is>
      </c>
      <c r="G59" s="3" t="inlineStr">
        <is>
          <t>Medium</t>
        </is>
      </c>
      <c r="H59" s="3" t="inlineStr"/>
      <c r="I59" s="3" t="inlineStr">
        <is>
          <t>Q2</t>
        </is>
      </c>
      <c r="J59" s="3" t="inlineStr"/>
      <c r="K59" s="3" t="inlineStr">
        <is>
          <t>huunguyen@phs.vn</t>
        </is>
      </c>
      <c r="L59" s="3" t="inlineStr"/>
      <c r="M59" s="3" t="inlineStr">
        <is>
          <t>huunguyen2525</t>
        </is>
      </c>
      <c r="N59" s="3" t="inlineStr">
        <is>
          <t>huunguyen2525</t>
        </is>
      </c>
      <c r="O59" s="4" t="inlineStr"/>
      <c r="P59" s="4" t="inlineStr"/>
    </row>
    <row r="60" ht="24" customHeight="1">
      <c r="A60" s="3" t="inlineStr">
        <is>
          <t>2283752</t>
        </is>
      </c>
      <c r="B60" s="3" t="inlineStr"/>
      <c r="C60" s="4" t="inlineStr">
        <is>
          <t>[CR] [2283752] [DTD] [No.03-2026] Send Notification via Elite App and mail all right issue</t>
        </is>
      </c>
      <c r="D60" s="3" t="inlineStr">
        <is>
          <t>MW Team</t>
        </is>
      </c>
      <c r="E60" s="3" t="inlineStr">
        <is>
          <t>CR</t>
        </is>
      </c>
      <c r="F60" s="3" t="inlineStr">
        <is>
          <t>DTD</t>
        </is>
      </c>
      <c r="G60" s="3" t="inlineStr">
        <is>
          <t>Medium</t>
        </is>
      </c>
      <c r="H60" s="3" t="inlineStr"/>
      <c r="I60" s="3" t="inlineStr">
        <is>
          <t>Q2</t>
        </is>
      </c>
      <c r="J60" s="3" t="inlineStr"/>
      <c r="K60" s="3" t="inlineStr">
        <is>
          <t>huunguyen@phs.vn</t>
        </is>
      </c>
      <c r="L60" s="3" t="inlineStr"/>
      <c r="M60" s="3" t="inlineStr">
        <is>
          <t>huunguyen2525</t>
        </is>
      </c>
      <c r="N60" s="3" t="inlineStr">
        <is>
          <t>huunguyen2525</t>
        </is>
      </c>
      <c r="O60" s="4" t="inlineStr">
        <is>
          <t>2283752</t>
        </is>
      </c>
      <c r="P60" s="4" t="inlineStr"/>
    </row>
    <row r="61" ht="24" customHeight="1">
      <c r="A61" s="3" t="inlineStr">
        <is>
          <t>2289280</t>
        </is>
      </c>
      <c r="B61" s="3" t="inlineStr"/>
      <c r="C61" s="4" t="inlineStr">
        <is>
          <t>[CR] [2289280] [FN] [No.01-2026] Future-Dated Withdrawal Scheduling for Customers</t>
        </is>
      </c>
      <c r="D61" s="3" t="inlineStr">
        <is>
          <t>MW Team</t>
        </is>
      </c>
      <c r="E61" s="3" t="inlineStr">
        <is>
          <t>CR</t>
        </is>
      </c>
      <c r="F61" s="3" t="inlineStr">
        <is>
          <t>FN</t>
        </is>
      </c>
      <c r="G61" s="3" t="inlineStr">
        <is>
          <t>Medium</t>
        </is>
      </c>
      <c r="H61" s="3" t="inlineStr"/>
      <c r="I61" s="3" t="inlineStr">
        <is>
          <t>Backlog</t>
        </is>
      </c>
      <c r="J61" s="3" t="inlineStr"/>
      <c r="K61" s="3" t="inlineStr">
        <is>
          <t>huunguyen@phs.vn</t>
        </is>
      </c>
      <c r="L61" s="3" t="inlineStr"/>
      <c r="M61" s="3" t="inlineStr">
        <is>
          <t>huunguyen2525</t>
        </is>
      </c>
      <c r="N61" s="3" t="inlineStr">
        <is>
          <t>huunguyen2525</t>
        </is>
      </c>
      <c r="O61" s="4" t="inlineStr">
        <is>
          <t>2289280</t>
        </is>
      </c>
      <c r="P61" s="4" t="inlineStr"/>
    </row>
    <row r="62" ht="24" customHeight="1">
      <c r="A62" s="3" t="inlineStr">
        <is>
          <t>2133352</t>
        </is>
      </c>
      <c r="B62" s="3" t="inlineStr"/>
      <c r="C62" s="4" t="inlineStr">
        <is>
          <t>[CR] [2133352] [RMD] Margin product calculation tool</t>
        </is>
      </c>
      <c r="D62" s="3" t="inlineStr">
        <is>
          <t>Team Mobile</t>
        </is>
      </c>
      <c r="E62" s="3" t="inlineStr">
        <is>
          <t>CR</t>
        </is>
      </c>
      <c r="F62" s="3" t="inlineStr">
        <is>
          <t>RMD</t>
        </is>
      </c>
      <c r="G62" s="3" t="inlineStr">
        <is>
          <t>Medium</t>
        </is>
      </c>
      <c r="H62" s="3" t="inlineStr"/>
      <c r="I62" s="3" t="inlineStr">
        <is>
          <t>Q1</t>
        </is>
      </c>
      <c r="J62" s="3" t="inlineStr"/>
      <c r="K62" s="3" t="inlineStr">
        <is>
          <t>phongvo@phs.vn</t>
        </is>
      </c>
      <c r="L62" s="3" t="inlineStr"/>
      <c r="M62" s="3" t="inlineStr">
        <is>
          <t>phongvo2440</t>
        </is>
      </c>
      <c r="N62" s="3" t="inlineStr">
        <is>
          <t>phongvo2440</t>
        </is>
      </c>
      <c r="O62" s="4" t="inlineStr">
        <is>
          <t>2133352</t>
        </is>
      </c>
      <c r="P62" s="4" t="inlineStr"/>
    </row>
    <row r="63" ht="24" customHeight="1">
      <c r="A63" s="3" t="inlineStr">
        <is>
          <t>2247969</t>
        </is>
      </c>
      <c r="B63" s="3" t="inlineStr"/>
      <c r="C63" s="4" t="inlineStr">
        <is>
          <t>[CR] [2247969] [SS] Add PCA trading stock labels and implement stock filtering features on the PHS Elite app</t>
        </is>
      </c>
      <c r="D63" s="3" t="inlineStr">
        <is>
          <t>Team Mobile</t>
        </is>
      </c>
      <c r="E63" s="3" t="inlineStr">
        <is>
          <t>CR</t>
        </is>
      </c>
      <c r="F63" s="3" t="inlineStr">
        <is>
          <t>SS</t>
        </is>
      </c>
      <c r="G63" s="3" t="inlineStr">
        <is>
          <t>Medium</t>
        </is>
      </c>
      <c r="H63" s="3" t="inlineStr"/>
      <c r="I63" s="3" t="inlineStr">
        <is>
          <t>Q1</t>
        </is>
      </c>
      <c r="J63" s="3" t="inlineStr"/>
      <c r="K63" s="3" t="inlineStr">
        <is>
          <t>phongvo@phs.vn</t>
        </is>
      </c>
      <c r="L63" s="3" t="inlineStr"/>
      <c r="M63" s="3" t="inlineStr">
        <is>
          <t>phongvo2440</t>
        </is>
      </c>
      <c r="N63" s="3" t="inlineStr">
        <is>
          <t>phongvo2440</t>
        </is>
      </c>
      <c r="O63" s="4" t="inlineStr"/>
      <c r="P63" s="4" t="inlineStr"/>
    </row>
    <row r="64" ht="24" customHeight="1">
      <c r="A64" s="3" t="inlineStr">
        <is>
          <t>2186435</t>
        </is>
      </c>
      <c r="B64" s="3" t="inlineStr"/>
      <c r="C64" s="4" t="inlineStr">
        <is>
          <t>[CR] [2186435] [MSD] PROMOTION REGISTRATION FUNCTION UPGRADE</t>
        </is>
      </c>
      <c r="D64" s="3" t="inlineStr">
        <is>
          <t>Team Mobile</t>
        </is>
      </c>
      <c r="E64" s="3" t="inlineStr">
        <is>
          <t>CR</t>
        </is>
      </c>
      <c r="F64" s="3" t="inlineStr">
        <is>
          <t>MSD</t>
        </is>
      </c>
      <c r="G64" s="3" t="inlineStr">
        <is>
          <t>Medium</t>
        </is>
      </c>
      <c r="H64" s="3" t="inlineStr"/>
      <c r="I64" s="3" t="inlineStr">
        <is>
          <t>Q1</t>
        </is>
      </c>
      <c r="J64" s="3" t="inlineStr"/>
      <c r="K64" s="3" t="inlineStr">
        <is>
          <t>phongvo@phs.vn</t>
        </is>
      </c>
      <c r="L64" s="3" t="inlineStr"/>
      <c r="M64" s="3" t="inlineStr">
        <is>
          <t>phongvo2440</t>
        </is>
      </c>
      <c r="N64" s="3" t="inlineStr">
        <is>
          <t>phongvo2440</t>
        </is>
      </c>
      <c r="O64" s="4" t="inlineStr">
        <is>
          <t>2186435</t>
        </is>
      </c>
      <c r="P64" s="4" t="inlineStr"/>
    </row>
    <row r="65" ht="24" customHeight="1">
      <c r="A65" s="3" t="inlineStr">
        <is>
          <t>2285823</t>
        </is>
      </c>
      <c r="B65" s="3" t="inlineStr"/>
      <c r="C65" s="4" t="inlineStr">
        <is>
          <t>[CR] [2285823] [IC] THE LOGIN SCREEN GREETING MESSAGE</t>
        </is>
      </c>
      <c r="D65" s="3" t="inlineStr">
        <is>
          <t>Team Mobile</t>
        </is>
      </c>
      <c r="E65" s="3" t="inlineStr">
        <is>
          <t>CR</t>
        </is>
      </c>
      <c r="F65" s="3" t="inlineStr">
        <is>
          <t>IC</t>
        </is>
      </c>
      <c r="G65" s="3" t="inlineStr">
        <is>
          <t>Medium</t>
        </is>
      </c>
      <c r="H65" s="3" t="inlineStr"/>
      <c r="I65" s="3" t="inlineStr">
        <is>
          <t>Q1</t>
        </is>
      </c>
      <c r="J65" s="3" t="inlineStr"/>
      <c r="K65" s="3" t="inlineStr">
        <is>
          <t>phongvo@phs.vn</t>
        </is>
      </c>
      <c r="L65" s="3" t="inlineStr"/>
      <c r="M65" s="3" t="inlineStr">
        <is>
          <t>phongvo2440</t>
        </is>
      </c>
      <c r="N65" s="3" t="inlineStr">
        <is>
          <t>phongvo2440</t>
        </is>
      </c>
      <c r="O65" s="4" t="inlineStr"/>
      <c r="P65" s="4" t="inlineStr"/>
    </row>
    <row r="66" ht="24" customHeight="1">
      <c r="A66" s="3" t="inlineStr">
        <is>
          <t>2224919</t>
        </is>
      </c>
      <c r="B66" s="3" t="inlineStr"/>
      <c r="C66" s="4" t="inlineStr">
        <is>
          <t>[CR] [2224919] [SS] Feature to save multiple login accounts on a single device in the PHS Elite Trading app</t>
        </is>
      </c>
      <c r="D66" s="3" t="inlineStr">
        <is>
          <t>Team Mobile</t>
        </is>
      </c>
      <c r="E66" s="3" t="inlineStr">
        <is>
          <t>CR</t>
        </is>
      </c>
      <c r="F66" s="3" t="inlineStr">
        <is>
          <t>SS</t>
        </is>
      </c>
      <c r="G66" s="3" t="inlineStr">
        <is>
          <t>Medium</t>
        </is>
      </c>
      <c r="H66" s="3" t="inlineStr"/>
      <c r="I66" s="3" t="inlineStr">
        <is>
          <t>Q1</t>
        </is>
      </c>
      <c r="J66" s="3" t="inlineStr"/>
      <c r="K66" s="3" t="inlineStr">
        <is>
          <t>phongvo@phs.vn</t>
        </is>
      </c>
      <c r="L66" s="3" t="inlineStr"/>
      <c r="M66" s="3" t="inlineStr">
        <is>
          <t>phongvo2440</t>
        </is>
      </c>
      <c r="N66" s="3" t="inlineStr">
        <is>
          <t>phongvo2440</t>
        </is>
      </c>
      <c r="O66" s="4" t="inlineStr"/>
      <c r="P66" s="4" t="inlineStr"/>
    </row>
    <row r="67" ht="24" customHeight="1">
      <c r="A67" s="3" t="inlineStr">
        <is>
          <t>2302697</t>
        </is>
      </c>
      <c r="B67" s="3" t="inlineStr"/>
      <c r="C67" s="4" t="inlineStr">
        <is>
          <t>[CR] [2302697] [LG] Add content regarding personal data protection</t>
        </is>
      </c>
      <c r="D67" s="3" t="inlineStr">
        <is>
          <t>Team Mobile</t>
        </is>
      </c>
      <c r="E67" s="3" t="inlineStr">
        <is>
          <t>CR</t>
        </is>
      </c>
      <c r="F67" s="3" t="inlineStr">
        <is>
          <t>LG</t>
        </is>
      </c>
      <c r="G67" s="3" t="inlineStr">
        <is>
          <t>Low</t>
        </is>
      </c>
      <c r="H67" s="3" t="inlineStr"/>
      <c r="I67" s="3" t="inlineStr">
        <is>
          <t>Q1</t>
        </is>
      </c>
      <c r="J67" s="3" t="inlineStr"/>
      <c r="K67" s="3" t="inlineStr">
        <is>
          <t>phongvo@phs.vn</t>
        </is>
      </c>
      <c r="L67" s="3" t="inlineStr"/>
      <c r="M67" s="3" t="inlineStr"/>
      <c r="N67" s="3" t="inlineStr">
        <is>
          <t>phongvo2440</t>
        </is>
      </c>
      <c r="O67" s="4" t="inlineStr"/>
      <c r="P67" s="4" t="inlineStr"/>
    </row>
    <row r="68" ht="24" customHeight="1">
      <c r="A68" s="3" t="inlineStr">
        <is>
          <t>2185585</t>
        </is>
      </c>
      <c r="B68" s="3" t="inlineStr"/>
      <c r="C68" s="4" t="inlineStr">
        <is>
          <t>[CR] [2185585] [IT] Add the Reward Redemption feature to the PHS Elite Trading application</t>
        </is>
      </c>
      <c r="D68" s="3" t="inlineStr">
        <is>
          <t>Team Mobile</t>
        </is>
      </c>
      <c r="E68" s="3" t="inlineStr">
        <is>
          <t>CR</t>
        </is>
      </c>
      <c r="F68" s="3" t="inlineStr">
        <is>
          <t>IT</t>
        </is>
      </c>
      <c r="G68" s="3" t="inlineStr">
        <is>
          <t>Medium</t>
        </is>
      </c>
      <c r="H68" s="3" t="inlineStr"/>
      <c r="I68" s="3" t="inlineStr">
        <is>
          <t>Q1</t>
        </is>
      </c>
      <c r="J68" s="3" t="inlineStr"/>
      <c r="K68" s="3" t="inlineStr">
        <is>
          <t>phongvo@phs.vn</t>
        </is>
      </c>
      <c r="L68" s="3" t="inlineStr"/>
      <c r="M68" s="3" t="inlineStr">
        <is>
          <t>phongvo2440</t>
        </is>
      </c>
      <c r="N68" s="3" t="inlineStr">
        <is>
          <t>phongvo2440</t>
        </is>
      </c>
      <c r="O68" s="4" t="inlineStr"/>
      <c r="P68" s="4" t="inlineStr"/>
    </row>
    <row r="69" ht="24" customHeight="1">
      <c r="A69" s="3" t="inlineStr">
        <is>
          <t>2154685</t>
        </is>
      </c>
      <c r="B69" s="3" t="inlineStr"/>
      <c r="C69" s="4" t="inlineStr">
        <is>
          <t>[CR] [2154685] [INB] Mutual Fund Distribution (Phase 2)</t>
        </is>
      </c>
      <c r="D69" s="3" t="inlineStr">
        <is>
          <t>Team Mobile</t>
        </is>
      </c>
      <c r="E69" s="3" t="inlineStr">
        <is>
          <t>CR</t>
        </is>
      </c>
      <c r="F69" s="3" t="inlineStr">
        <is>
          <t>INB</t>
        </is>
      </c>
      <c r="G69" s="3" t="inlineStr">
        <is>
          <t>Medium</t>
        </is>
      </c>
      <c r="H69" s="3" t="inlineStr"/>
      <c r="I69" s="3" t="inlineStr">
        <is>
          <t>Q1</t>
        </is>
      </c>
      <c r="J69" s="3" t="inlineStr"/>
      <c r="K69" s="3" t="inlineStr">
        <is>
          <t>phongvo@phs.vn</t>
        </is>
      </c>
      <c r="L69" s="3" t="inlineStr"/>
      <c r="M69" s="3" t="inlineStr"/>
      <c r="N69" s="3" t="inlineStr">
        <is>
          <t>phongvo2440</t>
        </is>
      </c>
      <c r="O69" s="4" t="inlineStr">
        <is>
          <t>2154685</t>
        </is>
      </c>
      <c r="P69" s="4" t="inlineStr"/>
    </row>
    <row r="70" ht="24" customHeight="1">
      <c r="A70" s="3" t="inlineStr"/>
      <c r="B70" s="3" t="inlineStr"/>
      <c r="C70" s="4" t="inlineStr">
        <is>
          <t>[MKT] Update Logo PHS 20 years anniversary</t>
        </is>
      </c>
      <c r="D70" s="3" t="inlineStr">
        <is>
          <t>Team Mobile</t>
        </is>
      </c>
      <c r="E70" s="3" t="inlineStr">
        <is>
          <t>Internal</t>
        </is>
      </c>
      <c r="F70" s="3" t="inlineStr"/>
      <c r="G70" s="3" t="inlineStr">
        <is>
          <t>Medium</t>
        </is>
      </c>
      <c r="H70" s="3" t="inlineStr"/>
      <c r="I70" s="3" t="inlineStr">
        <is>
          <t>Q1</t>
        </is>
      </c>
      <c r="J70" s="3" t="inlineStr"/>
      <c r="K70" s="3" t="inlineStr">
        <is>
          <t>phongvo@phs.vn</t>
        </is>
      </c>
      <c r="L70" s="3" t="inlineStr"/>
      <c r="M70" s="3" t="inlineStr">
        <is>
          <t>phongvo2440</t>
        </is>
      </c>
      <c r="N70" s="3" t="inlineStr">
        <is>
          <t>phongvo2440</t>
        </is>
      </c>
      <c r="O70" s="4" t="inlineStr"/>
      <c r="P70" s="4" t="inlineStr"/>
    </row>
    <row r="71" ht="24" customHeight="1">
      <c r="A71" s="3" t="inlineStr">
        <is>
          <t>2077975</t>
        </is>
      </c>
      <c r="B71" s="3" t="inlineStr"/>
      <c r="C71" s="4" t="inlineStr">
        <is>
          <t>[CR] [2077975] [MKT] Collaboration with Woori Bank Proposal</t>
        </is>
      </c>
      <c r="D71" s="3" t="inlineStr">
        <is>
          <t>Team Mobile</t>
        </is>
      </c>
      <c r="E71" s="3" t="inlineStr">
        <is>
          <t>CR</t>
        </is>
      </c>
      <c r="F71" s="3" t="inlineStr">
        <is>
          <t>MKT</t>
        </is>
      </c>
      <c r="G71" s="3" t="inlineStr">
        <is>
          <t>Low</t>
        </is>
      </c>
      <c r="H71" s="3" t="inlineStr"/>
      <c r="I71" s="3" t="inlineStr">
        <is>
          <t>Q1</t>
        </is>
      </c>
      <c r="J71" s="3" t="inlineStr"/>
      <c r="K71" s="3" t="inlineStr">
        <is>
          <t>phongvo@phs.vn</t>
        </is>
      </c>
      <c r="L71" s="3" t="inlineStr"/>
      <c r="M71" s="3" t="inlineStr"/>
      <c r="N71" s="3" t="inlineStr">
        <is>
          <t>phongvo2440</t>
        </is>
      </c>
      <c r="O71" s="4" t="inlineStr"/>
      <c r="P71" s="4" t="inlineStr"/>
    </row>
    <row r="72" ht="24" customHeight="1">
      <c r="A72" s="3" t="inlineStr">
        <is>
          <t>2196774</t>
        </is>
      </c>
      <c r="B72" s="3" t="inlineStr"/>
      <c r="C72" s="4" t="inlineStr">
        <is>
          <t>[CR] [2196774] [INB] Proposed modifications of Mobile UI and middleware modules to facilitate Elite Seeds sub-account deployment</t>
        </is>
      </c>
      <c r="D72" s="3" t="inlineStr">
        <is>
          <t>Team Mobile</t>
        </is>
      </c>
      <c r="E72" s="3" t="inlineStr">
        <is>
          <t>CR</t>
        </is>
      </c>
      <c r="F72" s="3" t="inlineStr">
        <is>
          <t>INB</t>
        </is>
      </c>
      <c r="G72" s="3" t="inlineStr">
        <is>
          <t>Medium</t>
        </is>
      </c>
      <c r="H72" s="3" t="inlineStr"/>
      <c r="I72" s="3" t="inlineStr">
        <is>
          <t>Q1</t>
        </is>
      </c>
      <c r="J72" s="3" t="inlineStr"/>
      <c r="K72" s="3" t="inlineStr">
        <is>
          <t>phongvo@phs.vn</t>
        </is>
      </c>
      <c r="L72" s="3" t="inlineStr"/>
      <c r="M72" s="3" t="inlineStr">
        <is>
          <t>phongvo2440</t>
        </is>
      </c>
      <c r="N72" s="3" t="inlineStr">
        <is>
          <t>phongvo2440</t>
        </is>
      </c>
      <c r="O72" s="4" t="inlineStr"/>
      <c r="P72" s="4" t="inlineStr"/>
    </row>
    <row r="73" ht="24" customHeight="1">
      <c r="A73" s="3" t="inlineStr">
        <is>
          <t>2242463</t>
        </is>
      </c>
      <c r="B73" s="3" t="inlineStr"/>
      <c r="C73" s="4" t="inlineStr">
        <is>
          <t>[CR] [2242463] [MSD] PROMOTION: HORSE YEAR FORTUNE 2026</t>
        </is>
      </c>
      <c r="D73" s="3" t="inlineStr">
        <is>
          <t>Team Mobile</t>
        </is>
      </c>
      <c r="E73" s="3" t="inlineStr">
        <is>
          <t>CR</t>
        </is>
      </c>
      <c r="F73" s="3" t="inlineStr">
        <is>
          <t>MSD</t>
        </is>
      </c>
      <c r="G73" s="3" t="inlineStr">
        <is>
          <t>Medium</t>
        </is>
      </c>
      <c r="H73" s="3" t="inlineStr"/>
      <c r="I73" s="3" t="inlineStr">
        <is>
          <t>Q1</t>
        </is>
      </c>
      <c r="J73" s="3" t="inlineStr"/>
      <c r="K73" s="3" t="inlineStr">
        <is>
          <t>phongvo@phs.vn</t>
        </is>
      </c>
      <c r="L73" s="3" t="inlineStr"/>
      <c r="M73" s="3" t="inlineStr">
        <is>
          <t>phongvo2440</t>
        </is>
      </c>
      <c r="N73" s="3" t="inlineStr">
        <is>
          <t>phongvo2440</t>
        </is>
      </c>
      <c r="O73" s="4" t="inlineStr"/>
      <c r="P73" s="4" t="inlineStr"/>
    </row>
    <row r="74" ht="24" customHeight="1">
      <c r="A74" s="3" t="inlineStr">
        <is>
          <t>2185583</t>
        </is>
      </c>
      <c r="B74" s="3" t="inlineStr"/>
      <c r="C74" s="4" t="inlineStr">
        <is>
          <t>[CR] [2185583] [IT] Enhancement of the Smart OTP Function on the PHS Elite Trading Application</t>
        </is>
      </c>
      <c r="D74" s="3" t="inlineStr">
        <is>
          <t>Team Mobile</t>
        </is>
      </c>
      <c r="E74" s="3" t="inlineStr">
        <is>
          <t>CR</t>
        </is>
      </c>
      <c r="F74" s="3" t="inlineStr">
        <is>
          <t>IT</t>
        </is>
      </c>
      <c r="G74" s="3" t="inlineStr">
        <is>
          <t>Medium</t>
        </is>
      </c>
      <c r="H74" s="3" t="inlineStr"/>
      <c r="I74" s="3" t="inlineStr">
        <is>
          <t>Q1</t>
        </is>
      </c>
      <c r="J74" s="3" t="inlineStr"/>
      <c r="K74" s="3" t="inlineStr">
        <is>
          <t>phongvo@phs.vn</t>
        </is>
      </c>
      <c r="L74" s="3" t="inlineStr"/>
      <c r="M74" s="3" t="inlineStr">
        <is>
          <t>phongvo2440</t>
        </is>
      </c>
      <c r="N74" s="3" t="inlineStr">
        <is>
          <t>phongvo2440</t>
        </is>
      </c>
      <c r="O74" s="4" t="inlineStr"/>
      <c r="P74" s="4" t="inlineStr"/>
    </row>
    <row r="75" ht="24" customHeight="1">
      <c r="A75" s="3" t="inlineStr">
        <is>
          <t>2213580</t>
        </is>
      </c>
      <c r="B75" s="3" t="inlineStr"/>
      <c r="C75" s="4" t="inlineStr">
        <is>
          <t>[CR] [2213580] [CCC] Enhancement Successful Reward Redemption Notifications via Email and the PHS Elite Trading App</t>
        </is>
      </c>
      <c r="D75" s="3" t="inlineStr">
        <is>
          <t>Dev Team B</t>
        </is>
      </c>
      <c r="E75" s="3" t="inlineStr">
        <is>
          <t>CR</t>
        </is>
      </c>
      <c r="F75" s="3" t="inlineStr">
        <is>
          <t>CCC</t>
        </is>
      </c>
      <c r="G75" s="3" t="inlineStr">
        <is>
          <t>Medium</t>
        </is>
      </c>
      <c r="H75" s="3" t="inlineStr"/>
      <c r="I75" s="3" t="inlineStr">
        <is>
          <t>Q1</t>
        </is>
      </c>
      <c r="J75" s="3" t="inlineStr"/>
      <c r="K75" s="3" t="inlineStr">
        <is>
          <t>minhvo@phs.vn</t>
        </is>
      </c>
      <c r="L75" s="3" t="inlineStr"/>
      <c r="M75" s="3" t="inlineStr">
        <is>
          <t>minhvo2565</t>
        </is>
      </c>
      <c r="N75" s="3" t="inlineStr">
        <is>
          <t>minhvo2565</t>
        </is>
      </c>
      <c r="O75" s="4" t="inlineStr"/>
      <c r="P75" s="4" t="inlineStr"/>
    </row>
    <row r="76" ht="24" customHeight="1">
      <c r="A76" s="3" t="inlineStr">
        <is>
          <t>2186435</t>
        </is>
      </c>
      <c r="B76" s="3" t="inlineStr"/>
      <c r="C76" s="4" t="inlineStr">
        <is>
          <t>[CR] [2186435] [MSD] Enhance Promotion features on Admin Customer Portal</t>
        </is>
      </c>
      <c r="D76" s="3" t="inlineStr">
        <is>
          <t>Dev Team B</t>
        </is>
      </c>
      <c r="E76" s="3" t="inlineStr">
        <is>
          <t>CR</t>
        </is>
      </c>
      <c r="F76" s="3" t="inlineStr">
        <is>
          <t>MSD</t>
        </is>
      </c>
      <c r="G76" s="3" t="inlineStr">
        <is>
          <t>Medium</t>
        </is>
      </c>
      <c r="H76" s="3" t="inlineStr"/>
      <c r="I76" s="3" t="inlineStr">
        <is>
          <t>Q1</t>
        </is>
      </c>
      <c r="J76" s="3" t="inlineStr"/>
      <c r="K76" s="3" t="inlineStr">
        <is>
          <t>minhvo@phs.vn</t>
        </is>
      </c>
      <c r="L76" s="3" t="inlineStr"/>
      <c r="M76" s="3" t="inlineStr">
        <is>
          <t>minhvo2565</t>
        </is>
      </c>
      <c r="N76" s="3" t="inlineStr">
        <is>
          <t>minhvo2565</t>
        </is>
      </c>
      <c r="O76" s="4" t="inlineStr">
        <is>
          <t>2186435</t>
        </is>
      </c>
      <c r="P76" s="4" t="inlineStr"/>
    </row>
    <row r="77" ht="24" customHeight="1">
      <c r="A77" s="3" t="inlineStr">
        <is>
          <t>2065876</t>
        </is>
      </c>
      <c r="B77" s="3" t="inlineStr"/>
      <c r="C77" s="4" t="inlineStr">
        <is>
          <t>[CR] [2065876] [MSD] Add a feature to view the registration/deletion history of beneficiary accounts (Same-owner transfer) on the Admin Customer Portal</t>
        </is>
      </c>
      <c r="D77" s="3" t="inlineStr">
        <is>
          <t>Dev Team B</t>
        </is>
      </c>
      <c r="E77" s="3" t="inlineStr">
        <is>
          <t>CR</t>
        </is>
      </c>
      <c r="F77" s="3" t="inlineStr">
        <is>
          <t>MSD</t>
        </is>
      </c>
      <c r="G77" s="3" t="inlineStr">
        <is>
          <t>Medium</t>
        </is>
      </c>
      <c r="H77" s="3" t="inlineStr"/>
      <c r="I77" s="3" t="inlineStr">
        <is>
          <t>Q1</t>
        </is>
      </c>
      <c r="J77" s="3" t="inlineStr"/>
      <c r="K77" s="3" t="inlineStr">
        <is>
          <t>minhvo@phs.vn</t>
        </is>
      </c>
      <c r="L77" s="3" t="inlineStr"/>
      <c r="M77" s="3" t="inlineStr">
        <is>
          <t>minhvo2565</t>
        </is>
      </c>
      <c r="N77" s="3" t="inlineStr">
        <is>
          <t>minhvo2565</t>
        </is>
      </c>
      <c r="O77" s="4" t="inlineStr"/>
      <c r="P77" s="4" t="inlineStr"/>
    </row>
    <row r="78" ht="24" customHeight="1">
      <c r="A78" s="3" t="inlineStr">
        <is>
          <t>1722552</t>
        </is>
      </c>
      <c r="B78" s="3" t="inlineStr"/>
      <c r="C78" s="4" t="inlineStr">
        <is>
          <t>[CR] [1722552] [BMD] Provide API data source for Transaction fluctuation function in Broker portal</t>
        </is>
      </c>
      <c r="D78" s="3" t="inlineStr">
        <is>
          <t>Dev Team B</t>
        </is>
      </c>
      <c r="E78" s="3" t="inlineStr">
        <is>
          <t>CR</t>
        </is>
      </c>
      <c r="F78" s="3" t="inlineStr">
        <is>
          <t>BMD</t>
        </is>
      </c>
      <c r="G78" s="3" t="inlineStr">
        <is>
          <t>Medium</t>
        </is>
      </c>
      <c r="H78" s="3" t="inlineStr"/>
      <c r="I78" s="3" t="inlineStr">
        <is>
          <t>Q1</t>
        </is>
      </c>
      <c r="J78" s="3" t="inlineStr"/>
      <c r="K78" s="3" t="inlineStr">
        <is>
          <t>minhvo@phs.vn</t>
        </is>
      </c>
      <c r="L78" s="3" t="inlineStr"/>
      <c r="M78" s="3" t="inlineStr">
        <is>
          <t>minhvo2565</t>
        </is>
      </c>
      <c r="N78" s="3" t="inlineStr">
        <is>
          <t>minhvo2565</t>
        </is>
      </c>
      <c r="O78" s="4" t="inlineStr"/>
      <c r="P78" s="4" t="inlineStr"/>
    </row>
  </sheetData>
  <mergeCells count="1">
    <mergeCell ref="A1:P1"/>
  </mergeCells>
  <dataValidations count="6">
    <dataValidation sqref="D3:D200" showDropDown="0" showInputMessage="0" showErrorMessage="0" allowBlank="1" error="Please select a valid team" type="list">
      <formula1>"Team Mobile,Dev Team B,MW Team"</formula1>
    </dataValidation>
    <dataValidation sqref="H3:H200" showDropDown="0" showInputMessage="0" showErrorMessage="0" allowBlank="1" type="list">
      <formula1>"Todo,Doing,Done,Overdue,Blocked"</formula1>
    </dataValidation>
    <dataValidation sqref="G3:G200" showDropDown="0" showInputMessage="0" showErrorMessage="0" allowBlank="1" type="list">
      <formula1>"Critical,High,Medium,Low"</formula1>
    </dataValidation>
    <dataValidation sqref="E3:E200" showDropDown="0" showInputMessage="0" showErrorMessage="0" allowBlank="1" type="list">
      <formula1>"CR,SDK,Bug Fix,Internal,Infrastructure"</formula1>
    </dataValidation>
    <dataValidation sqref="I3:I200" showDropDown="0" showInputMessage="0" showErrorMessage="0" allowBlank="1" type="list">
      <formula1>"Q1,Q2,Q3,Q4,Backlog"</formula1>
    </dataValidation>
    <dataValidation sqref="F3:F200" showDropDown="0" showInputMessage="0" showErrorMessage="0" allowBlank="1" type="list">
      <formula1>"RMD,SS,MSD,MKT,IT,RS,BMD,DTD,INB,FN,AC,HR,IC,LG,CCC,KT"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Team Name</t>
        </is>
      </c>
      <c r="B1" s="5" t="inlineStr">
        <is>
          <t>Team Lead</t>
        </is>
      </c>
      <c r="C1" s="5" t="inlineStr">
        <is>
          <t>Lead Email</t>
        </is>
      </c>
      <c r="D1" s="5" t="inlineStr">
        <is>
          <t>Members Count</t>
        </is>
      </c>
    </row>
    <row r="2">
      <c r="A2" s="6" t="inlineStr">
        <is>
          <t>Team Mobile</t>
        </is>
      </c>
      <c r="B2" s="6" t="inlineStr">
        <is>
          <t>Phong Vo</t>
        </is>
      </c>
      <c r="C2" s="6" t="inlineStr">
        <is>
          <t>phongvo@phs.vn</t>
        </is>
      </c>
      <c r="D2" s="6" t="inlineStr"/>
    </row>
    <row r="3">
      <c r="A3" s="6" t="inlineStr">
        <is>
          <t>Dev Team B</t>
        </is>
      </c>
      <c r="B3" s="6" t="inlineStr">
        <is>
          <t>Minh Vo</t>
        </is>
      </c>
      <c r="C3" s="6" t="inlineStr">
        <is>
          <t>minhvo@phs.vn</t>
        </is>
      </c>
      <c r="D3" s="6" t="inlineStr"/>
    </row>
    <row r="4">
      <c r="A4" s="6" t="inlineStr">
        <is>
          <t>MW Team</t>
        </is>
      </c>
      <c r="B4" s="6" t="inlineStr">
        <is>
          <t>Huu Nguyen</t>
        </is>
      </c>
      <c r="C4" s="6" t="inlineStr">
        <is>
          <t>huunguyen@phs.vn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  <col width="35" customWidth="1" min="4" max="4"/>
  </cols>
  <sheetData>
    <row r="1" ht="30" customHeight="1">
      <c r="A1" s="7" t="inlineStr">
        <is>
          <t>Task Naming Convention Guide</t>
        </is>
      </c>
    </row>
    <row r="2">
      <c r="A2" s="2" t="inlineStr">
        <is>
          <t>Pattern</t>
        </is>
      </c>
      <c r="B2" s="2" t="inlineStr">
        <is>
          <t>Example</t>
        </is>
      </c>
      <c r="C2" s="2" t="inlineStr">
        <is>
          <t>Description</t>
        </is>
      </c>
      <c r="D2" s="2" t="inlineStr">
        <is>
          <t>Field Mapping</t>
        </is>
      </c>
    </row>
    <row r="3">
      <c r="A3" s="4" t="inlineStr">
        <is>
          <t>[CR] [request-id] [dept] Title</t>
        </is>
      </c>
      <c r="B3" s="4" t="inlineStr">
        <is>
          <t>[CR] [2329940] [RS] AI Chatbot Integration</t>
        </is>
      </c>
      <c r="C3" s="4" t="inlineStr">
        <is>
          <t>Standard CR task — request-id is the ID from the base request platform</t>
        </is>
      </c>
      <c r="D3" s="4" t="inlineStr">
        <is>
          <t>Request ID → column A</t>
        </is>
      </c>
    </row>
    <row r="4">
      <c r="A4" s="4" t="inlineStr">
        <is>
          <t>[CR] [request-id] [dept] [No.XX-YYYY] Title</t>
        </is>
      </c>
      <c r="B4" s="4" t="inlineStr">
        <is>
          <t>[CR] [2084592] [RMD] [No.10-2025] Calculate interest</t>
        </is>
      </c>
      <c r="C4" s="4" t="inlineStr">
        <is>
          <t>MW Team format with internal sequence number and year</t>
        </is>
      </c>
      <c r="D4" s="4" t="inlineStr">
        <is>
          <t>No.XX-YYYY tracks internal ordering</t>
        </is>
      </c>
    </row>
    <row r="5">
      <c r="A5" s="4" t="inlineStr">
        <is>
          <t>[SDK] [request-id] Title</t>
        </is>
      </c>
      <c r="B5" s="4" t="inlineStr">
        <is>
          <t>[SDK] [2400512] Upgrade iOS and Android SDKs</t>
        </is>
      </c>
      <c r="C5" s="4" t="inlineStr">
        <is>
          <t>SDK upgrade tasks</t>
        </is>
      </c>
      <c r="D5" s="4" t="inlineStr">
        <is>
          <t>Category = SDK</t>
        </is>
      </c>
    </row>
    <row r="6">
      <c r="A6" s="4" t="inlineStr">
        <is>
          <t>[dept] Title (no CR)</t>
        </is>
      </c>
      <c r="B6" s="4" t="inlineStr">
        <is>
          <t>[MKT] Update Logo PHS 20 years anniversary</t>
        </is>
      </c>
      <c r="C6" s="4" t="inlineStr">
        <is>
          <t>Internal task without CR number</t>
        </is>
      </c>
      <c r="D6" s="4" t="inlineStr">
        <is>
          <t>Category = Internal</t>
        </is>
      </c>
    </row>
    <row r="8">
      <c r="A8" s="8" t="inlineStr">
        <is>
          <t>Mandatory Fields &amp; Rules</t>
        </is>
      </c>
    </row>
    <row r="9" ht="22" customHeight="1">
      <c r="A9" s="9" t="inlineStr">
        <is>
          <t>1. Every task MUST have: Request ID, Task Name, Team, Status, Assignee, Team Lead, Created Date, Deadline.</t>
        </is>
      </c>
    </row>
    <row r="10" ht="22" customHeight="1">
      <c r="A10" s="9" t="inlineStr">
        <is>
          <t>2. Backlog tasks: Status = "Todo", Phase = "Backlog". Must be groomed with deadline before moving to "Doing".</t>
        </is>
      </c>
    </row>
    <row r="11" ht="22" customHeight="1">
      <c r="A11" s="9" t="inlineStr">
        <is>
          <t>3. Request ID is the unique identifier from the base request platform — use it to detect duplicates across teams.</t>
        </is>
      </c>
    </row>
    <row r="12" ht="22" customHeight="1">
      <c r="A12" s="9" t="inlineStr">
        <is>
          <t>4. If the same CR spans multiple teams, create ONE row per team with the SAME Request ID. Use Dependencies column to link them.</t>
        </is>
      </c>
    </row>
    <row r="13" ht="22" customHeight="1">
      <c r="A13" s="9" t="inlineStr">
        <is>
          <t>5. Status flow: Todo → Doing → Done  |  Todo → Doing → Overdue → Done  |  Any → Blocked (explain in Notes).</t>
        </is>
      </c>
    </row>
    <row r="14" ht="22" customHeight="1">
      <c r="A14" s="9" t="inlineStr">
        <is>
          <t>6. Multi-team CRs: When a CR spans multiple teams, append the team scope to the task name: [CR] [request-id] [dept] Title — Scope (e.g., "— Mobile UI", "— Middleware API", "— Web Admin"). Use the SAME Request ID across all rows.</t>
        </is>
      </c>
    </row>
    <row r="15" ht="22" customHeight="1">
      <c r="A15" s="9" t="inlineStr">
        <is>
          <t>7. CR Overview sheet: For every multi-team CR, maintain ONE row in the CR Overview sheet summarizing all teams’ statuses. Update the Overall Status whenever any team’s status changes.</t>
        </is>
      </c>
    </row>
  </sheetData>
  <mergeCells count="9">
    <mergeCell ref="A1:D1"/>
    <mergeCell ref="A9:D9"/>
    <mergeCell ref="A8:D8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6C1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Auto-calculated Dashboard (COUNTIFS from Task Tracker)</t>
        </is>
      </c>
    </row>
    <row r="3">
      <c r="A3" s="5" t="inlineStr">
        <is>
          <t>Team</t>
        </is>
      </c>
      <c r="B3" s="5" t="inlineStr">
        <is>
          <t>Total</t>
        </is>
      </c>
      <c r="C3" s="5" t="inlineStr">
        <is>
          <t>Todo</t>
        </is>
      </c>
      <c r="D3" s="5" t="inlineStr">
        <is>
          <t>Doing</t>
        </is>
      </c>
      <c r="E3" s="5" t="inlineStr">
        <is>
          <t>Done</t>
        </is>
      </c>
      <c r="F3" s="5" t="inlineStr">
        <is>
          <t>Overdue</t>
        </is>
      </c>
      <c r="G3" s="5" t="inlineStr">
        <is>
          <t>Blocked</t>
        </is>
      </c>
    </row>
    <row r="4">
      <c r="A4" s="10" t="inlineStr">
        <is>
          <t>Team Mobile</t>
        </is>
      </c>
      <c r="B4" s="6">
        <f>COUNTIF('Task Tracker'!D:D,"Team Mobile")</f>
        <v/>
      </c>
      <c r="C4" s="6">
        <f>COUNTIFS('Task Tracker'!D:D,"Team Mobile",'Task Tracker'!H:H,"Todo")</f>
        <v/>
      </c>
      <c r="D4" s="6">
        <f>COUNTIFS('Task Tracker'!D:D,"Team Mobile",'Task Tracker'!H:H,"Doing")</f>
        <v/>
      </c>
      <c r="E4" s="6">
        <f>COUNTIFS('Task Tracker'!D:D,"Team Mobile",'Task Tracker'!H:H,"Done")</f>
        <v/>
      </c>
      <c r="F4" s="6">
        <f>COUNTIFS('Task Tracker'!D:D,"Team Mobile",'Task Tracker'!H:H,"Overdue")</f>
        <v/>
      </c>
      <c r="G4" s="6">
        <f>COUNTIFS('Task Tracker'!D:D,"Team Mobile",'Task Tracker'!H:H,"Blocked")</f>
        <v/>
      </c>
    </row>
    <row r="5">
      <c r="A5" s="10" t="inlineStr">
        <is>
          <t>Dev Team B</t>
        </is>
      </c>
      <c r="B5" s="6">
        <f>COUNTIF('Task Tracker'!D:D,"Dev Team B")</f>
        <v/>
      </c>
      <c r="C5" s="6">
        <f>COUNTIFS('Task Tracker'!D:D,"Dev Team B",'Task Tracker'!H:H,"Todo")</f>
        <v/>
      </c>
      <c r="D5" s="6">
        <f>COUNTIFS('Task Tracker'!D:D,"Dev Team B",'Task Tracker'!H:H,"Doing")</f>
        <v/>
      </c>
      <c r="E5" s="6">
        <f>COUNTIFS('Task Tracker'!D:D,"Dev Team B",'Task Tracker'!H:H,"Done")</f>
        <v/>
      </c>
      <c r="F5" s="6">
        <f>COUNTIFS('Task Tracker'!D:D,"Dev Team B",'Task Tracker'!H:H,"Overdue")</f>
        <v/>
      </c>
      <c r="G5" s="6">
        <f>COUNTIFS('Task Tracker'!D:D,"Dev Team B",'Task Tracker'!H:H,"Blocked")</f>
        <v/>
      </c>
    </row>
    <row r="6">
      <c r="A6" s="10" t="inlineStr">
        <is>
          <t>MW Team</t>
        </is>
      </c>
      <c r="B6" s="6">
        <f>COUNTIF('Task Tracker'!D:D,"MW Team")</f>
        <v/>
      </c>
      <c r="C6" s="6">
        <f>COUNTIFS('Task Tracker'!D:D,"MW Team",'Task Tracker'!H:H,"Todo")</f>
        <v/>
      </c>
      <c r="D6" s="6">
        <f>COUNTIFS('Task Tracker'!D:D,"MW Team",'Task Tracker'!H:H,"Doing")</f>
        <v/>
      </c>
      <c r="E6" s="6">
        <f>COUNTIFS('Task Tracker'!D:D,"MW Team",'Task Tracker'!H:H,"Done")</f>
        <v/>
      </c>
      <c r="F6" s="6">
        <f>COUNTIFS('Task Tracker'!D:D,"MW Team",'Task Tracker'!H:H,"Overdue")</f>
        <v/>
      </c>
      <c r="G6" s="6">
        <f>COUNTIFS('Task Tracker'!D:D,"MW Team",'Task Tracker'!H:H,"Blocked")</f>
        <v/>
      </c>
    </row>
    <row r="7">
      <c r="A7" s="11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</row>
    <row r="9">
      <c r="A9" s="12" t="inlineStr">
        <is>
          <t>Breakdown by Phase</t>
        </is>
      </c>
    </row>
    <row r="10">
      <c r="A10" s="5" t="inlineStr">
        <is>
          <t>Team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  <c r="F10" s="5" t="inlineStr">
        <is>
          <t>Backlog</t>
        </is>
      </c>
      <c r="G10" s="5" t="inlineStr">
        <is>
          <t>Total</t>
        </is>
      </c>
    </row>
    <row r="11">
      <c r="A11" s="10" t="inlineStr">
        <is>
          <t>Team Mobile</t>
        </is>
      </c>
      <c r="B11" s="6">
        <f>COUNTIFS('Task Tracker'!D:D,"Team Mobile",'Task Tracker'!I:I,"Q1")</f>
        <v/>
      </c>
      <c r="C11" s="6">
        <f>COUNTIFS('Task Tracker'!D:D,"Team Mobile",'Task Tracker'!I:I,"Q2")</f>
        <v/>
      </c>
      <c r="D11" s="6">
        <f>COUNTIFS('Task Tracker'!D:D,"Team Mobile",'Task Tracker'!I:I,"Q3")</f>
        <v/>
      </c>
      <c r="E11" s="6">
        <f>COUNTIFS('Task Tracker'!D:D,"Team Mobile",'Task Tracker'!I:I,"Q4")</f>
        <v/>
      </c>
      <c r="F11" s="6">
        <f>COUNTIFS('Task Tracker'!D:D,"Team Mobile",'Task Tracker'!I:I,"Backlog")</f>
        <v/>
      </c>
      <c r="G11" s="6">
        <f>SUM(B11:F11)</f>
        <v/>
      </c>
    </row>
    <row r="12">
      <c r="A12" s="10" t="inlineStr">
        <is>
          <t>Dev Team B</t>
        </is>
      </c>
      <c r="B12" s="6">
        <f>COUNTIFS('Task Tracker'!D:D,"Dev Team B",'Task Tracker'!I:I,"Q1")</f>
        <v/>
      </c>
      <c r="C12" s="6">
        <f>COUNTIFS('Task Tracker'!D:D,"Dev Team B",'Task Tracker'!I:I,"Q2")</f>
        <v/>
      </c>
      <c r="D12" s="6">
        <f>COUNTIFS('Task Tracker'!D:D,"Dev Team B",'Task Tracker'!I:I,"Q3")</f>
        <v/>
      </c>
      <c r="E12" s="6">
        <f>COUNTIFS('Task Tracker'!D:D,"Dev Team B",'Task Tracker'!I:I,"Q4")</f>
        <v/>
      </c>
      <c r="F12" s="6">
        <f>COUNTIFS('Task Tracker'!D:D,"Dev Team B",'Task Tracker'!I:I,"Backlog")</f>
        <v/>
      </c>
      <c r="G12" s="6">
        <f>SUM(B12:F12)</f>
        <v/>
      </c>
    </row>
    <row r="13">
      <c r="A13" s="10" t="inlineStr">
        <is>
          <t>MW Team</t>
        </is>
      </c>
      <c r="B13" s="6">
        <f>COUNTIFS('Task Tracker'!D:D,"MW Team",'Task Tracker'!I:I,"Q1")</f>
        <v/>
      </c>
      <c r="C13" s="6">
        <f>COUNTIFS('Task Tracker'!D:D,"MW Team",'Task Tracker'!I:I,"Q2")</f>
        <v/>
      </c>
      <c r="D13" s="6">
        <f>COUNTIFS('Task Tracker'!D:D,"MW Team",'Task Tracker'!I:I,"Q3")</f>
        <v/>
      </c>
      <c r="E13" s="6">
        <f>COUNTIFS('Task Tracker'!D:D,"MW Team",'Task Tracker'!I:I,"Q4")</f>
        <v/>
      </c>
      <c r="F13" s="6">
        <f>COUNTIFS('Task Tracker'!D:D,"MW Team",'Task Tracker'!I:I,"Backlog")</f>
        <v/>
      </c>
      <c r="G13" s="6">
        <f>SUM(B13:F13)</f>
        <v/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J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40" customWidth="1" min="10" max="10"/>
  </cols>
  <sheetData>
    <row r="1" ht="36" customHeight="1">
      <c r="A1" s="1" t="inlineStr">
        <is>
          <t>CR Overview — Cross-Team Change Request Tracking</t>
        </is>
      </c>
    </row>
    <row r="2" ht="22" customHeight="1">
      <c r="A2" s="13" t="inlineStr">
        <is>
          <t>Each row = one unique CR. Shows which teams are involved, per-team status, and overall CR health. Manually maintained — reference Task Tracker for source data.</t>
        </is>
      </c>
    </row>
    <row r="3" ht="28" customHeight="1">
      <c r="A3" s="2" t="inlineStr">
        <is>
          <t>Request ID</t>
        </is>
      </c>
      <c r="B3" s="2" t="inlineStr">
        <is>
          <t>CR Title</t>
        </is>
      </c>
      <c r="C3" s="2" t="inlineStr">
        <is>
          <t>Dept</t>
        </is>
      </c>
      <c r="D3" s="2" t="inlineStr">
        <is>
          <t>Priority</t>
        </is>
      </c>
      <c r="E3" s="2" t="inlineStr">
        <is>
          <t>Teams Involved</t>
        </is>
      </c>
      <c r="F3" s="2" t="inlineStr">
        <is>
          <t>Mobile Status</t>
        </is>
      </c>
      <c r="G3" s="2" t="inlineStr">
        <is>
          <t>Dev B Status</t>
        </is>
      </c>
      <c r="H3" s="2" t="inlineStr">
        <is>
          <t>MW Status</t>
        </is>
      </c>
      <c r="I3" s="2" t="inlineStr">
        <is>
          <t>Overall Status</t>
        </is>
      </c>
      <c r="J3" s="2" t="inlineStr">
        <is>
          <t>Blockers / Notes</t>
        </is>
      </c>
    </row>
    <row r="4" ht="26" customHeight="1">
      <c r="A4" s="3" t="inlineStr">
        <is>
          <t>2084592</t>
        </is>
      </c>
      <c r="B4" s="4" t="inlineStr">
        <is>
          <t>Calculate interest for accounts using special interest rate products</t>
        </is>
      </c>
      <c r="C4" s="3" t="inlineStr">
        <is>
          <t>RMD</t>
        </is>
      </c>
      <c r="D4" s="19" t="inlineStr">
        <is>
          <t>Medium</t>
        </is>
      </c>
      <c r="E4" s="3" t="inlineStr">
        <is>
          <t>3 teams</t>
        </is>
      </c>
      <c r="F4" s="3" t="inlineStr"/>
      <c r="G4" s="3" t="inlineStr"/>
      <c r="H4" s="3" t="inlineStr"/>
      <c r="I4" s="17" t="inlineStr">
        <is>
          <t>In Progress</t>
        </is>
      </c>
      <c r="J4" s="4" t="inlineStr"/>
    </row>
    <row r="5" ht="26" customHeight="1">
      <c r="A5" s="3" t="inlineStr">
        <is>
          <t>2275303</t>
        </is>
      </c>
      <c r="B5" s="4" t="inlineStr">
        <is>
          <t>Enhance securities depository features via the PHS Elite Trading application</t>
        </is>
      </c>
      <c r="C5" s="3" t="inlineStr">
        <is>
          <t>SS</t>
        </is>
      </c>
      <c r="D5" s="19" t="inlineStr">
        <is>
          <t>Medium</t>
        </is>
      </c>
      <c r="E5" s="3" t="inlineStr">
        <is>
          <t>3 teams</t>
        </is>
      </c>
      <c r="F5" s="3" t="inlineStr"/>
      <c r="G5" s="3" t="inlineStr"/>
      <c r="H5" s="3" t="inlineStr"/>
      <c r="I5" s="17" t="inlineStr">
        <is>
          <t>In Progress</t>
        </is>
      </c>
      <c r="J5" s="4" t="inlineStr"/>
    </row>
    <row r="6" ht="26" customHeight="1">
      <c r="A6" s="3" t="inlineStr">
        <is>
          <t>2133352</t>
        </is>
      </c>
      <c r="B6" s="4" t="inlineStr">
        <is>
          <t>Margin product calculation tool</t>
        </is>
      </c>
      <c r="C6" s="3" t="inlineStr">
        <is>
          <t>RMD</t>
        </is>
      </c>
      <c r="D6" s="19" t="inlineStr">
        <is>
          <t>Medium</t>
        </is>
      </c>
      <c r="E6" s="3" t="inlineStr">
        <is>
          <t>2 teams</t>
        </is>
      </c>
      <c r="F6" s="3" t="inlineStr"/>
      <c r="G6" s="20" t="inlineStr">
        <is>
          <t>—</t>
        </is>
      </c>
      <c r="H6" s="3" t="inlineStr"/>
      <c r="I6" s="17" t="inlineStr">
        <is>
          <t>In Progress</t>
        </is>
      </c>
      <c r="J6" s="4" t="inlineStr"/>
    </row>
    <row r="7" ht="26" customHeight="1">
      <c r="A7" s="3" t="inlineStr">
        <is>
          <t>2149046</t>
        </is>
      </c>
      <c r="B7" s="4" t="inlineStr">
        <is>
          <t>EKYC</t>
        </is>
      </c>
      <c r="C7" s="3" t="inlineStr">
        <is>
          <t>IT</t>
        </is>
      </c>
      <c r="D7" s="19" t="inlineStr">
        <is>
          <t>Medium</t>
        </is>
      </c>
      <c r="E7" s="3" t="inlineStr">
        <is>
          <t>2 teams</t>
        </is>
      </c>
      <c r="F7" s="3" t="inlineStr"/>
      <c r="G7" s="20" t="inlineStr">
        <is>
          <t>—</t>
        </is>
      </c>
      <c r="H7" s="3" t="inlineStr"/>
      <c r="I7" s="17" t="inlineStr">
        <is>
          <t>In Progress</t>
        </is>
      </c>
      <c r="J7" s="4" t="inlineStr"/>
    </row>
    <row r="8" ht="26" customHeight="1">
      <c r="A8" s="3" t="inlineStr">
        <is>
          <t>2154685</t>
        </is>
      </c>
      <c r="B8" s="4" t="inlineStr">
        <is>
          <t>Upgrade fund certificate trading feature on Mobile app</t>
        </is>
      </c>
      <c r="C8" s="3" t="inlineStr">
        <is>
          <t>BMD</t>
        </is>
      </c>
      <c r="D8" s="19" t="inlineStr">
        <is>
          <t>Medium</t>
        </is>
      </c>
      <c r="E8" s="3" t="inlineStr">
        <is>
          <t>2 teams</t>
        </is>
      </c>
      <c r="F8" s="3" t="inlineStr"/>
      <c r="G8" s="3" t="inlineStr"/>
      <c r="H8" s="20" t="inlineStr">
        <is>
          <t>—</t>
        </is>
      </c>
      <c r="I8" s="17" t="inlineStr">
        <is>
          <t>In Progress</t>
        </is>
      </c>
      <c r="J8" s="4" t="inlineStr"/>
    </row>
    <row r="9" ht="26" customHeight="1">
      <c r="A9" s="3" t="inlineStr">
        <is>
          <t>2186435</t>
        </is>
      </c>
      <c r="B9" s="4" t="inlineStr">
        <is>
          <t>PROMOTION REGISTRATION FUNCTION UPGRADE</t>
        </is>
      </c>
      <c r="C9" s="3" t="inlineStr">
        <is>
          <t>MSD</t>
        </is>
      </c>
      <c r="D9" s="19" t="inlineStr">
        <is>
          <t>Medium</t>
        </is>
      </c>
      <c r="E9" s="3" t="inlineStr">
        <is>
          <t>2 teams</t>
        </is>
      </c>
      <c r="F9" s="3" t="inlineStr"/>
      <c r="G9" s="3" t="inlineStr"/>
      <c r="H9" s="20" t="inlineStr">
        <is>
          <t>—</t>
        </is>
      </c>
      <c r="I9" s="17" t="inlineStr">
        <is>
          <t>In Progress</t>
        </is>
      </c>
      <c r="J9" s="4" t="inlineStr"/>
    </row>
    <row r="10" ht="26" customHeight="1">
      <c r="A10" s="3" t="inlineStr">
        <is>
          <t>2216483</t>
        </is>
      </c>
      <c r="B10" s="4" t="inlineStr">
        <is>
          <t>LOYALTY SYSTEM ON MOBILE APP</t>
        </is>
      </c>
      <c r="C10" s="3" t="inlineStr">
        <is>
          <t>MSD</t>
        </is>
      </c>
      <c r="D10" s="19" t="inlineStr">
        <is>
          <t>Medium</t>
        </is>
      </c>
      <c r="E10" s="3" t="inlineStr">
        <is>
          <t>2 teams</t>
        </is>
      </c>
      <c r="F10" s="3" t="inlineStr"/>
      <c r="G10" s="20" t="inlineStr">
        <is>
          <t>—</t>
        </is>
      </c>
      <c r="H10" s="3" t="inlineStr"/>
      <c r="I10" s="17" t="inlineStr">
        <is>
          <t>In Progress</t>
        </is>
      </c>
      <c r="J10" s="4" t="inlineStr"/>
    </row>
    <row r="11" ht="26" customHeight="1">
      <c r="A11" s="3" t="inlineStr">
        <is>
          <t>2222464</t>
        </is>
      </c>
      <c r="B11" s="4" t="inlineStr">
        <is>
          <t>Add sign-in method</t>
        </is>
      </c>
      <c r="C11" s="3" t="inlineStr">
        <is>
          <t>RMD</t>
        </is>
      </c>
      <c r="D11" s="19" t="inlineStr">
        <is>
          <t>Medium</t>
        </is>
      </c>
      <c r="E11" s="3" t="inlineStr">
        <is>
          <t>2 teams</t>
        </is>
      </c>
      <c r="F11" s="3" t="inlineStr"/>
      <c r="G11" s="20" t="inlineStr">
        <is>
          <t>—</t>
        </is>
      </c>
      <c r="H11" s="3" t="inlineStr"/>
      <c r="I11" s="17" t="inlineStr">
        <is>
          <t>In Progress</t>
        </is>
      </c>
      <c r="J11" s="4" t="inlineStr"/>
    </row>
    <row r="12" ht="26" customHeight="1">
      <c r="A12" s="3" t="inlineStr">
        <is>
          <t>2238356</t>
        </is>
      </c>
      <c r="B12" s="4" t="inlineStr">
        <is>
          <t>ADVANCE MARGIN FOR DERIVATIVES</t>
        </is>
      </c>
      <c r="C12" s="3" t="inlineStr">
        <is>
          <t>MSD</t>
        </is>
      </c>
      <c r="D12" s="19" t="inlineStr">
        <is>
          <t>Medium</t>
        </is>
      </c>
      <c r="E12" s="3" t="inlineStr">
        <is>
          <t>2 teams</t>
        </is>
      </c>
      <c r="F12" s="3" t="inlineStr"/>
      <c r="G12" s="20" t="inlineStr">
        <is>
          <t>—</t>
        </is>
      </c>
      <c r="H12" s="3" t="inlineStr"/>
      <c r="I12" s="17" t="inlineStr">
        <is>
          <t>In Progress</t>
        </is>
      </c>
      <c r="J12" s="4" t="inlineStr"/>
    </row>
    <row r="13" ht="26" customHeight="1">
      <c r="A13" s="3" t="inlineStr">
        <is>
          <t>2283752</t>
        </is>
      </c>
      <c r="B13" s="4" t="inlineStr">
        <is>
          <t>Send Notification via Elite App and mail all right issue</t>
        </is>
      </c>
      <c r="C13" s="3" t="inlineStr">
        <is>
          <t>SS</t>
        </is>
      </c>
      <c r="D13" s="19" t="inlineStr">
        <is>
          <t>Medium</t>
        </is>
      </c>
      <c r="E13" s="3" t="inlineStr">
        <is>
          <t>2 teams</t>
        </is>
      </c>
      <c r="F13" s="3" t="inlineStr"/>
      <c r="G13" s="20" t="inlineStr">
        <is>
          <t>—</t>
        </is>
      </c>
      <c r="H13" s="3" t="inlineStr"/>
      <c r="I13" s="17" t="inlineStr">
        <is>
          <t>In Progress</t>
        </is>
      </c>
      <c r="J13" s="4" t="inlineStr"/>
    </row>
    <row r="14" ht="26" customHeight="1">
      <c r="A14" s="3" t="inlineStr">
        <is>
          <t>2289280</t>
        </is>
      </c>
      <c r="B14" s="4" t="inlineStr">
        <is>
          <t>Future-Dated Withdrawal Scheduling for Customers</t>
        </is>
      </c>
      <c r="C14" s="3" t="inlineStr">
        <is>
          <t>FN</t>
        </is>
      </c>
      <c r="D14" s="19" t="inlineStr">
        <is>
          <t>Medium</t>
        </is>
      </c>
      <c r="E14" s="3" t="inlineStr">
        <is>
          <t>2 teams</t>
        </is>
      </c>
      <c r="F14" s="3" t="inlineStr"/>
      <c r="G14" s="20" t="inlineStr">
        <is>
          <t>—</t>
        </is>
      </c>
      <c r="H14" s="3" t="inlineStr"/>
      <c r="I14" s="17" t="inlineStr">
        <is>
          <t>In Progress</t>
        </is>
      </c>
      <c r="J14" s="4" t="inlineStr"/>
    </row>
    <row r="15" ht="26" customHeight="1">
      <c r="A15" s="3" t="inlineStr">
        <is>
          <t>2330515</t>
        </is>
      </c>
      <c r="B15" s="4" t="inlineStr">
        <is>
          <t>IPO Share Subscription Feature</t>
        </is>
      </c>
      <c r="C15" s="3" t="inlineStr">
        <is>
          <t>RMD</t>
        </is>
      </c>
      <c r="D15" s="19" t="inlineStr">
        <is>
          <t>Medium</t>
        </is>
      </c>
      <c r="E15" s="3" t="inlineStr">
        <is>
          <t>2 teams</t>
        </is>
      </c>
      <c r="F15" s="3" t="inlineStr"/>
      <c r="G15" s="3" t="inlineStr"/>
      <c r="H15" s="20" t="inlineStr">
        <is>
          <t>—</t>
        </is>
      </c>
      <c r="I15" s="17" t="inlineStr">
        <is>
          <t>In Progress</t>
        </is>
      </c>
      <c r="J15" s="4" t="inlineStr"/>
    </row>
    <row r="16" ht="26" customHeight="1">
      <c r="A16" s="3" t="inlineStr">
        <is>
          <t>2335404</t>
        </is>
      </c>
      <c r="B16" s="4" t="inlineStr">
        <is>
          <t>Upgrade the automatic limit adjustment feature</t>
        </is>
      </c>
      <c r="C16" s="3" t="inlineStr"/>
      <c r="D16" s="19" t="inlineStr">
        <is>
          <t>Medium</t>
        </is>
      </c>
      <c r="E16" s="3" t="inlineStr">
        <is>
          <t>2 teams</t>
        </is>
      </c>
      <c r="F16" s="3" t="inlineStr"/>
      <c r="G16" s="3" t="inlineStr"/>
      <c r="H16" s="20" t="inlineStr">
        <is>
          <t>—</t>
        </is>
      </c>
      <c r="I16" s="17" t="inlineStr">
        <is>
          <t>In Progress</t>
        </is>
      </c>
      <c r="J16" s="4" t="inlineStr"/>
    </row>
    <row r="17" ht="26" customHeight="1">
      <c r="A17" s="3" t="inlineStr">
        <is>
          <t>2400155</t>
        </is>
      </c>
      <c r="B17" s="4" t="inlineStr">
        <is>
          <t>Develop Mission Tracking Page for Promotion</t>
        </is>
      </c>
      <c r="C17" s="3" t="inlineStr">
        <is>
          <t>MKT</t>
        </is>
      </c>
      <c r="D17" s="19" t="inlineStr">
        <is>
          <t>Medium</t>
        </is>
      </c>
      <c r="E17" s="3" t="inlineStr">
        <is>
          <t>2 teams</t>
        </is>
      </c>
      <c r="F17" s="3" t="inlineStr"/>
      <c r="G17" s="3" t="inlineStr"/>
      <c r="H17" s="20" t="inlineStr">
        <is>
          <t>—</t>
        </is>
      </c>
      <c r="I17" s="17" t="inlineStr">
        <is>
          <t>In Progress</t>
        </is>
      </c>
      <c r="J17" s="4" t="inlineStr"/>
    </row>
    <row r="18" ht="26" customHeight="1">
      <c r="A18" s="3" t="inlineStr">
        <is>
          <t>2415056</t>
        </is>
      </c>
      <c r="B18" s="4" t="inlineStr">
        <is>
          <t>Implementation of “Partner Offers” on PHS Mobile App</t>
        </is>
      </c>
      <c r="C18" s="3" t="inlineStr">
        <is>
          <t>MKT</t>
        </is>
      </c>
      <c r="D18" s="19" t="inlineStr">
        <is>
          <t>Medium</t>
        </is>
      </c>
      <c r="E18" s="3" t="inlineStr">
        <is>
          <t>2 teams</t>
        </is>
      </c>
      <c r="F18" s="3" t="inlineStr"/>
      <c r="G18" s="3" t="inlineStr"/>
      <c r="H18" s="20" t="inlineStr">
        <is>
          <t>—</t>
        </is>
      </c>
      <c r="I18" s="17" t="inlineStr">
        <is>
          <t>In Progress</t>
        </is>
      </c>
      <c r="J18" s="4" t="inlineStr"/>
    </row>
    <row r="19" ht="26" customHeight="1">
      <c r="A19" s="3" t="inlineStr">
        <is>
          <t>1722552</t>
        </is>
      </c>
      <c r="B19" s="4" t="inlineStr">
        <is>
          <t>Provide API data source for Transaction fluctuation function in Broker portal</t>
        </is>
      </c>
      <c r="C19" s="3" t="inlineStr">
        <is>
          <t>BMD</t>
        </is>
      </c>
      <c r="D19" s="19" t="inlineStr">
        <is>
          <t>Medium</t>
        </is>
      </c>
      <c r="E19" s="3" t="inlineStr">
        <is>
          <t>1 team</t>
        </is>
      </c>
      <c r="F19" s="20" t="inlineStr">
        <is>
          <t>—</t>
        </is>
      </c>
      <c r="G19" s="3" t="inlineStr"/>
      <c r="H19" s="20" t="inlineStr">
        <is>
          <t>—</t>
        </is>
      </c>
      <c r="I19" s="17" t="inlineStr">
        <is>
          <t>In Progress</t>
        </is>
      </c>
      <c r="J19" s="4" t="inlineStr"/>
    </row>
    <row r="20" ht="26" customHeight="1">
      <c r="A20" s="3" t="inlineStr">
        <is>
          <t>1923581</t>
        </is>
      </c>
      <c r="B20" s="4" t="inlineStr">
        <is>
          <t>Tool to control the number of positions that need to be closed out</t>
        </is>
      </c>
      <c r="C20" s="3" t="inlineStr">
        <is>
          <t>RMD</t>
        </is>
      </c>
      <c r="D20" s="19" t="inlineStr">
        <is>
          <t>Medium</t>
        </is>
      </c>
      <c r="E20" s="3" t="inlineStr">
        <is>
          <t>1 team</t>
        </is>
      </c>
      <c r="F20" s="20" t="inlineStr">
        <is>
          <t>—</t>
        </is>
      </c>
      <c r="G20" s="3" t="inlineStr"/>
      <c r="H20" s="20" t="inlineStr">
        <is>
          <t>—</t>
        </is>
      </c>
      <c r="I20" s="17" t="inlineStr">
        <is>
          <t>In Progress</t>
        </is>
      </c>
      <c r="J20" s="4" t="inlineStr"/>
    </row>
    <row r="21" ht="26" customHeight="1">
      <c r="A21" s="3" t="inlineStr">
        <is>
          <t>1954732</t>
        </is>
      </c>
      <c r="B21" s="4" t="inlineStr">
        <is>
          <t>HR report automation</t>
        </is>
      </c>
      <c r="C21" s="3" t="inlineStr">
        <is>
          <t>HR</t>
        </is>
      </c>
      <c r="D21" s="19" t="inlineStr">
        <is>
          <t>Medium</t>
        </is>
      </c>
      <c r="E21" s="3" t="inlineStr">
        <is>
          <t>1 team</t>
        </is>
      </c>
      <c r="F21" s="20" t="inlineStr">
        <is>
          <t>—</t>
        </is>
      </c>
      <c r="G21" s="3" t="inlineStr"/>
      <c r="H21" s="20" t="inlineStr">
        <is>
          <t>—</t>
        </is>
      </c>
      <c r="I21" s="17" t="inlineStr">
        <is>
          <t>In Progress</t>
        </is>
      </c>
      <c r="J21" s="4" t="inlineStr"/>
    </row>
    <row r="22" ht="26" customHeight="1">
      <c r="A22" s="3" t="inlineStr">
        <is>
          <t>2065876</t>
        </is>
      </c>
      <c r="B22" s="4" t="inlineStr">
        <is>
          <t>Add a feature to view the registration/deletion history of beneficiary accounts (Same-owner transfer) on the Admin Customer Portal</t>
        </is>
      </c>
      <c r="C22" s="3" t="inlineStr">
        <is>
          <t>MSD</t>
        </is>
      </c>
      <c r="D22" s="19" t="inlineStr">
        <is>
          <t>Medium</t>
        </is>
      </c>
      <c r="E22" s="3" t="inlineStr">
        <is>
          <t>1 team</t>
        </is>
      </c>
      <c r="F22" s="20" t="inlineStr">
        <is>
          <t>—</t>
        </is>
      </c>
      <c r="G22" s="3" t="inlineStr"/>
      <c r="H22" s="20" t="inlineStr">
        <is>
          <t>—</t>
        </is>
      </c>
      <c r="I22" s="17" t="inlineStr">
        <is>
          <t>In Progress</t>
        </is>
      </c>
      <c r="J22" s="4" t="inlineStr"/>
    </row>
    <row r="23" ht="26" customHeight="1">
      <c r="A23" s="3" t="inlineStr">
        <is>
          <t>2106995</t>
        </is>
      </c>
      <c r="B23" s="4" t="inlineStr">
        <is>
          <t>Add put-through order trading feature on PHS ELITE XPRO</t>
        </is>
      </c>
      <c r="C23" s="3" t="inlineStr">
        <is>
          <t>DTD</t>
        </is>
      </c>
      <c r="D23" s="19" t="inlineStr">
        <is>
          <t>Medium</t>
        </is>
      </c>
      <c r="E23" s="3" t="inlineStr">
        <is>
          <t>1 team</t>
        </is>
      </c>
      <c r="F23" s="20" t="inlineStr">
        <is>
          <t>—</t>
        </is>
      </c>
      <c r="G23" s="20" t="inlineStr">
        <is>
          <t>—</t>
        </is>
      </c>
      <c r="H23" s="3" t="inlineStr"/>
      <c r="I23" s="17" t="inlineStr">
        <is>
          <t>In Progress</t>
        </is>
      </c>
      <c r="J23" s="4" t="inlineStr"/>
    </row>
    <row r="24" ht="26" customHeight="1">
      <c r="A24" s="3" t="inlineStr">
        <is>
          <t>2129248</t>
        </is>
      </c>
      <c r="B24" s="4" t="inlineStr">
        <is>
          <t>Add Special room information for Locations</t>
        </is>
      </c>
      <c r="C24" s="3" t="inlineStr">
        <is>
          <t>RMD</t>
        </is>
      </c>
      <c r="D24" s="19" t="inlineStr">
        <is>
          <t>Medium</t>
        </is>
      </c>
      <c r="E24" s="3" t="inlineStr">
        <is>
          <t>1 team</t>
        </is>
      </c>
      <c r="F24" s="20" t="inlineStr">
        <is>
          <t>—</t>
        </is>
      </c>
      <c r="G24" s="3" t="inlineStr"/>
      <c r="H24" s="20" t="inlineStr">
        <is>
          <t>—</t>
        </is>
      </c>
      <c r="I24" s="17" t="inlineStr">
        <is>
          <t>In Progress</t>
        </is>
      </c>
      <c r="J24" s="4" t="inlineStr"/>
    </row>
    <row r="25" ht="26" customHeight="1">
      <c r="A25" s="3" t="inlineStr">
        <is>
          <t>2174942</t>
        </is>
      </c>
      <c r="B25" s="4" t="inlineStr">
        <is>
          <t>Automation Test Proposal</t>
        </is>
      </c>
      <c r="C25" s="3" t="inlineStr">
        <is>
          <t>MSD</t>
        </is>
      </c>
      <c r="D25" s="19" t="inlineStr">
        <is>
          <t>Medium</t>
        </is>
      </c>
      <c r="E25" s="3" t="inlineStr">
        <is>
          <t>1 team</t>
        </is>
      </c>
      <c r="F25" s="3" t="inlineStr"/>
      <c r="G25" s="20" t="inlineStr">
        <is>
          <t>—</t>
        </is>
      </c>
      <c r="H25" s="20" t="inlineStr">
        <is>
          <t>—</t>
        </is>
      </c>
      <c r="I25" s="17" t="inlineStr">
        <is>
          <t>In Progress</t>
        </is>
      </c>
      <c r="J25" s="4" t="inlineStr"/>
    </row>
    <row r="26" ht="26" customHeight="1">
      <c r="A26" s="3" t="inlineStr">
        <is>
          <t>2185583</t>
        </is>
      </c>
      <c r="B26" s="4" t="inlineStr">
        <is>
          <t>Enhancement of the Smart OTP Function on the PHS Elite Trading Application</t>
        </is>
      </c>
      <c r="C26" s="3" t="inlineStr">
        <is>
          <t>IT</t>
        </is>
      </c>
      <c r="D26" s="19" t="inlineStr">
        <is>
          <t>Medium</t>
        </is>
      </c>
      <c r="E26" s="3" t="inlineStr">
        <is>
          <t>1 team</t>
        </is>
      </c>
      <c r="F26" s="3" t="inlineStr"/>
      <c r="G26" s="20" t="inlineStr">
        <is>
          <t>—</t>
        </is>
      </c>
      <c r="H26" s="20" t="inlineStr">
        <is>
          <t>—</t>
        </is>
      </c>
      <c r="I26" s="17" t="inlineStr">
        <is>
          <t>In Progress</t>
        </is>
      </c>
      <c r="J26" s="4" t="inlineStr"/>
    </row>
    <row r="27" ht="26" customHeight="1">
      <c r="A27" s="3" t="inlineStr">
        <is>
          <t>2185585</t>
        </is>
      </c>
      <c r="B27" s="4" t="inlineStr">
        <is>
          <t>Add the Reward Redemption feature to the PHS Elite Trading application</t>
        </is>
      </c>
      <c r="C27" s="3" t="inlineStr">
        <is>
          <t>IT</t>
        </is>
      </c>
      <c r="D27" s="19" t="inlineStr">
        <is>
          <t>Medium</t>
        </is>
      </c>
      <c r="E27" s="3" t="inlineStr">
        <is>
          <t>1 team</t>
        </is>
      </c>
      <c r="F27" s="3" t="inlineStr"/>
      <c r="G27" s="20" t="inlineStr">
        <is>
          <t>—</t>
        </is>
      </c>
      <c r="H27" s="20" t="inlineStr">
        <is>
          <t>—</t>
        </is>
      </c>
      <c r="I27" s="17" t="inlineStr">
        <is>
          <t>In Progress</t>
        </is>
      </c>
      <c r="J27" s="4" t="inlineStr"/>
    </row>
    <row r="28" ht="26" customHeight="1">
      <c r="A28" s="3" t="inlineStr">
        <is>
          <t>2196774</t>
        </is>
      </c>
      <c r="B28" s="4" t="inlineStr">
        <is>
          <t>Proposed modifications of Mobile UI and middleware modules to facilitate Elite Seeds sub-account deployment</t>
        </is>
      </c>
      <c r="C28" s="3" t="inlineStr">
        <is>
          <t>INB</t>
        </is>
      </c>
      <c r="D28" s="19" t="inlineStr">
        <is>
          <t>Medium</t>
        </is>
      </c>
      <c r="E28" s="3" t="inlineStr">
        <is>
          <t>1 team</t>
        </is>
      </c>
      <c r="F28" s="3" t="inlineStr"/>
      <c r="G28" s="20" t="inlineStr">
        <is>
          <t>—</t>
        </is>
      </c>
      <c r="H28" s="20" t="inlineStr">
        <is>
          <t>—</t>
        </is>
      </c>
      <c r="I28" s="17" t="inlineStr">
        <is>
          <t>In Progress</t>
        </is>
      </c>
      <c r="J28" s="4" t="inlineStr"/>
    </row>
    <row r="29" ht="26" customHeight="1">
      <c r="A29" s="3" t="inlineStr">
        <is>
          <t>2197982</t>
        </is>
      </c>
      <c r="B29" s="4" t="inlineStr">
        <is>
          <t>Research Landing Page: All Features &amp; Phase 1 Execution</t>
        </is>
      </c>
      <c r="C29" s="3" t="inlineStr">
        <is>
          <t>RS</t>
        </is>
      </c>
      <c r="D29" s="19" t="inlineStr">
        <is>
          <t>Medium</t>
        </is>
      </c>
      <c r="E29" s="3" t="inlineStr">
        <is>
          <t>1 team</t>
        </is>
      </c>
      <c r="F29" s="20" t="inlineStr">
        <is>
          <t>—</t>
        </is>
      </c>
      <c r="G29" s="3" t="inlineStr"/>
      <c r="H29" s="20" t="inlineStr">
        <is>
          <t>—</t>
        </is>
      </c>
      <c r="I29" s="17" t="inlineStr">
        <is>
          <t>In Progress</t>
        </is>
      </c>
      <c r="J29" s="4" t="inlineStr"/>
    </row>
    <row r="30" ht="26" customHeight="1">
      <c r="A30" s="3" t="inlineStr">
        <is>
          <t>2213580</t>
        </is>
      </c>
      <c r="B30" s="4" t="inlineStr">
        <is>
          <t>Enhancement Successful Reward Redemption Notifications via Email and the PHS Elite Trading App</t>
        </is>
      </c>
      <c r="C30" s="3" t="inlineStr">
        <is>
          <t>CCC</t>
        </is>
      </c>
      <c r="D30" s="19" t="inlineStr">
        <is>
          <t>Medium</t>
        </is>
      </c>
      <c r="E30" s="3" t="inlineStr">
        <is>
          <t>1 team</t>
        </is>
      </c>
      <c r="F30" s="20" t="inlineStr">
        <is>
          <t>—</t>
        </is>
      </c>
      <c r="G30" s="3" t="inlineStr"/>
      <c r="H30" s="20" t="inlineStr">
        <is>
          <t>—</t>
        </is>
      </c>
      <c r="I30" s="17" t="inlineStr">
        <is>
          <t>In Progress</t>
        </is>
      </c>
      <c r="J30" s="4" t="inlineStr"/>
    </row>
    <row r="31" ht="26" customHeight="1">
      <c r="A31" s="3" t="inlineStr">
        <is>
          <t>2224919</t>
        </is>
      </c>
      <c r="B31" s="4" t="inlineStr">
        <is>
          <t>Feature to save multiple login accounts on a single device in the PHS Elite Trading app</t>
        </is>
      </c>
      <c r="C31" s="3" t="inlineStr">
        <is>
          <t>SS</t>
        </is>
      </c>
      <c r="D31" s="19" t="inlineStr">
        <is>
          <t>Medium</t>
        </is>
      </c>
      <c r="E31" s="3" t="inlineStr">
        <is>
          <t>1 team</t>
        </is>
      </c>
      <c r="F31" s="3" t="inlineStr"/>
      <c r="G31" s="20" t="inlineStr">
        <is>
          <t>—</t>
        </is>
      </c>
      <c r="H31" s="20" t="inlineStr">
        <is>
          <t>—</t>
        </is>
      </c>
      <c r="I31" s="17" t="inlineStr">
        <is>
          <t>In Progress</t>
        </is>
      </c>
      <c r="J31" s="4" t="inlineStr"/>
    </row>
    <row r="32" ht="26" customHeight="1">
      <c r="A32" s="3" t="inlineStr">
        <is>
          <t>2242463</t>
        </is>
      </c>
      <c r="B32" s="4" t="inlineStr">
        <is>
          <t>PROMOTION: HORSE YEAR FORTUNE 2026</t>
        </is>
      </c>
      <c r="C32" s="3" t="inlineStr">
        <is>
          <t>MSD</t>
        </is>
      </c>
      <c r="D32" s="19" t="inlineStr">
        <is>
          <t>Medium</t>
        </is>
      </c>
      <c r="E32" s="3" t="inlineStr">
        <is>
          <t>1 team</t>
        </is>
      </c>
      <c r="F32" s="3" t="inlineStr"/>
      <c r="G32" s="20" t="inlineStr">
        <is>
          <t>—</t>
        </is>
      </c>
      <c r="H32" s="20" t="inlineStr">
        <is>
          <t>—</t>
        </is>
      </c>
      <c r="I32" s="17" t="inlineStr">
        <is>
          <t>In Progress</t>
        </is>
      </c>
      <c r="J32" s="4" t="inlineStr"/>
    </row>
    <row r="33" ht="26" customHeight="1">
      <c r="A33" s="3" t="inlineStr">
        <is>
          <t>2246969</t>
        </is>
      </c>
      <c r="B33" s="4" t="inlineStr">
        <is>
          <t>Add PCA trading stock labels and implement stock filtering features on the PHS Elite app</t>
        </is>
      </c>
      <c r="C33" s="3" t="inlineStr">
        <is>
          <t>DTD</t>
        </is>
      </c>
      <c r="D33" s="19" t="inlineStr">
        <is>
          <t>Medium</t>
        </is>
      </c>
      <c r="E33" s="3" t="inlineStr">
        <is>
          <t>1 team</t>
        </is>
      </c>
      <c r="F33" s="20" t="inlineStr">
        <is>
          <t>—</t>
        </is>
      </c>
      <c r="G33" s="20" t="inlineStr">
        <is>
          <t>—</t>
        </is>
      </c>
      <c r="H33" s="3" t="inlineStr"/>
      <c r="I33" s="17" t="inlineStr">
        <is>
          <t>In Progress</t>
        </is>
      </c>
      <c r="J33" s="4" t="inlineStr"/>
    </row>
    <row r="34" ht="26" customHeight="1">
      <c r="A34" s="3" t="inlineStr">
        <is>
          <t>2247969</t>
        </is>
      </c>
      <c r="B34" s="4" t="inlineStr">
        <is>
          <t>Add PCA trading stock labels and implement stock filtering features on the PHS Elite app</t>
        </is>
      </c>
      <c r="C34" s="3" t="inlineStr">
        <is>
          <t>SS</t>
        </is>
      </c>
      <c r="D34" s="19" t="inlineStr">
        <is>
          <t>Medium</t>
        </is>
      </c>
      <c r="E34" s="3" t="inlineStr">
        <is>
          <t>1 team</t>
        </is>
      </c>
      <c r="F34" s="3" t="inlineStr"/>
      <c r="G34" s="20" t="inlineStr">
        <is>
          <t>—</t>
        </is>
      </c>
      <c r="H34" s="20" t="inlineStr">
        <is>
          <t>—</t>
        </is>
      </c>
      <c r="I34" s="17" t="inlineStr">
        <is>
          <t>In Progress</t>
        </is>
      </c>
      <c r="J34" s="4" t="inlineStr"/>
    </row>
    <row r="35" ht="26" customHeight="1">
      <c r="A35" s="3" t="inlineStr">
        <is>
          <t>2285823</t>
        </is>
      </c>
      <c r="B35" s="4" t="inlineStr">
        <is>
          <t>THE LOGIN SCREEN GREETING MESSAGE</t>
        </is>
      </c>
      <c r="C35" s="3" t="inlineStr">
        <is>
          <t>IC</t>
        </is>
      </c>
      <c r="D35" s="19" t="inlineStr">
        <is>
          <t>Medium</t>
        </is>
      </c>
      <c r="E35" s="3" t="inlineStr">
        <is>
          <t>1 team</t>
        </is>
      </c>
      <c r="F35" s="3" t="inlineStr"/>
      <c r="G35" s="20" t="inlineStr">
        <is>
          <t>—</t>
        </is>
      </c>
      <c r="H35" s="20" t="inlineStr">
        <is>
          <t>—</t>
        </is>
      </c>
      <c r="I35" s="17" t="inlineStr">
        <is>
          <t>In Progress</t>
        </is>
      </c>
      <c r="J35" s="4" t="inlineStr"/>
    </row>
    <row r="36" ht="26" customHeight="1">
      <c r="A36" s="3" t="inlineStr">
        <is>
          <t>2291957</t>
        </is>
      </c>
      <c r="B36" s="4" t="inlineStr">
        <is>
          <t>Update the account opening function on the PHS Elite app login screen</t>
        </is>
      </c>
      <c r="C36" s="3" t="inlineStr">
        <is>
          <t>IC</t>
        </is>
      </c>
      <c r="D36" s="19" t="inlineStr">
        <is>
          <t>Medium</t>
        </is>
      </c>
      <c r="E36" s="3" t="inlineStr">
        <is>
          <t>1 team</t>
        </is>
      </c>
      <c r="F36" s="3" t="inlineStr"/>
      <c r="G36" s="20" t="inlineStr">
        <is>
          <t>—</t>
        </is>
      </c>
      <c r="H36" s="20" t="inlineStr">
        <is>
          <t>—</t>
        </is>
      </c>
      <c r="I36" s="17" t="inlineStr">
        <is>
          <t>In Progress</t>
        </is>
      </c>
      <c r="J36" s="4" t="inlineStr"/>
    </row>
    <row r="37" ht="26" customHeight="1">
      <c r="A37" s="3" t="inlineStr">
        <is>
          <t>2306127</t>
        </is>
      </c>
      <c r="B37" s="4" t="inlineStr">
        <is>
          <t>INB_ Proposal to implement the mobile app notifications for Elite Seeds</t>
        </is>
      </c>
      <c r="C37" s="3" t="inlineStr"/>
      <c r="D37" s="19" t="inlineStr">
        <is>
          <t>Medium</t>
        </is>
      </c>
      <c r="E37" s="3" t="inlineStr">
        <is>
          <t>1 team</t>
        </is>
      </c>
      <c r="F37" s="3" t="inlineStr"/>
      <c r="G37" s="20" t="inlineStr">
        <is>
          <t>—</t>
        </is>
      </c>
      <c r="H37" s="20" t="inlineStr">
        <is>
          <t>—</t>
        </is>
      </c>
      <c r="I37" s="17" t="inlineStr">
        <is>
          <t>In Progress</t>
        </is>
      </c>
      <c r="J37" s="4" t="inlineStr"/>
    </row>
    <row r="38" ht="26" customHeight="1">
      <c r="A38" s="3" t="inlineStr">
        <is>
          <t>2307583</t>
        </is>
      </c>
      <c r="B38" s="4" t="inlineStr">
        <is>
          <t>PHS BondTerm – Fixed-Tenor Bond Investment Package (via Listed Bonds</t>
        </is>
      </c>
      <c r="C38" s="3" t="inlineStr"/>
      <c r="D38" s="19" t="inlineStr">
        <is>
          <t>Medium</t>
        </is>
      </c>
      <c r="E38" s="3" t="inlineStr">
        <is>
          <t>1 team</t>
        </is>
      </c>
      <c r="F38" s="3" t="inlineStr"/>
      <c r="G38" s="20" t="inlineStr">
        <is>
          <t>—</t>
        </is>
      </c>
      <c r="H38" s="20" t="inlineStr">
        <is>
          <t>—</t>
        </is>
      </c>
      <c r="I38" s="17" t="inlineStr">
        <is>
          <t>In Progress</t>
        </is>
      </c>
      <c r="J38" s="4" t="inlineStr"/>
    </row>
    <row r="39" ht="26" customHeight="1">
      <c r="A39" s="3" t="inlineStr">
        <is>
          <t>2310394</t>
        </is>
      </c>
      <c r="B39" s="4" t="inlineStr">
        <is>
          <t>Tax analysis and estimation tools for investors (Phase 1)</t>
        </is>
      </c>
      <c r="C39" s="3" t="inlineStr"/>
      <c r="D39" s="19" t="inlineStr">
        <is>
          <t>Medium</t>
        </is>
      </c>
      <c r="E39" s="3" t="inlineStr">
        <is>
          <t>1 team</t>
        </is>
      </c>
      <c r="F39" s="3" t="inlineStr"/>
      <c r="G39" s="20" t="inlineStr">
        <is>
          <t>—</t>
        </is>
      </c>
      <c r="H39" s="20" t="inlineStr">
        <is>
          <t>—</t>
        </is>
      </c>
      <c r="I39" s="17" t="inlineStr">
        <is>
          <t>In Progress</t>
        </is>
      </c>
      <c r="J39" s="4" t="inlineStr"/>
    </row>
    <row r="40" ht="26" customHeight="1">
      <c r="A40" s="3" t="inlineStr">
        <is>
          <t>2372910</t>
        </is>
      </c>
      <c r="B40" s="4" t="inlineStr">
        <is>
          <t>[RESEARCH] Permission to get API data from OpenAcc web</t>
        </is>
      </c>
      <c r="C40" s="3" t="inlineStr"/>
      <c r="D40" s="19" t="inlineStr">
        <is>
          <t>Medium</t>
        </is>
      </c>
      <c r="E40" s="3" t="inlineStr">
        <is>
          <t>1 team</t>
        </is>
      </c>
      <c r="F40" s="3" t="inlineStr"/>
      <c r="G40" s="20" t="inlineStr">
        <is>
          <t>—</t>
        </is>
      </c>
      <c r="H40" s="20" t="inlineStr">
        <is>
          <t>—</t>
        </is>
      </c>
      <c r="I40" s="17" t="inlineStr">
        <is>
          <t>In Progress</t>
        </is>
      </c>
      <c r="J40" s="4" t="inlineStr"/>
    </row>
    <row r="41" ht="26" customHeight="1">
      <c r="A41" s="3" t="inlineStr">
        <is>
          <t>2376660</t>
        </is>
      </c>
      <c r="B41" s="4" t="inlineStr">
        <is>
          <t>Assessment of Requirements from RAR Center for the VNeID Integration into the eKYC Account Opening Process Project</t>
        </is>
      </c>
      <c r="C41" s="3" t="inlineStr"/>
      <c r="D41" s="19" t="inlineStr">
        <is>
          <t>Medium</t>
        </is>
      </c>
      <c r="E41" s="3" t="inlineStr">
        <is>
          <t>1 team</t>
        </is>
      </c>
      <c r="F41" s="3" t="inlineStr"/>
      <c r="G41" s="20" t="inlineStr">
        <is>
          <t>—</t>
        </is>
      </c>
      <c r="H41" s="20" t="inlineStr">
        <is>
          <t>—</t>
        </is>
      </c>
      <c r="I41" s="17" t="inlineStr">
        <is>
          <t>In Progress</t>
        </is>
      </c>
      <c r="J41" s="4" t="inlineStr"/>
    </row>
    <row r="42" ht="26" customHeight="1">
      <c r="A42" s="3" t="inlineStr">
        <is>
          <t>2385402</t>
        </is>
      </c>
      <c r="B42" s="4" t="inlineStr">
        <is>
          <t>Create popup on web phs.vn to promote for landing page PHS 20 Years Anniversary</t>
        </is>
      </c>
      <c r="C42" s="3" t="inlineStr">
        <is>
          <t>MKT</t>
        </is>
      </c>
      <c r="D42" s="19" t="inlineStr">
        <is>
          <t>Medium</t>
        </is>
      </c>
      <c r="E42" s="3" t="inlineStr">
        <is>
          <t>1 team</t>
        </is>
      </c>
      <c r="F42" s="20" t="inlineStr">
        <is>
          <t>—</t>
        </is>
      </c>
      <c r="G42" s="3" t="inlineStr"/>
      <c r="H42" s="20" t="inlineStr">
        <is>
          <t>—</t>
        </is>
      </c>
      <c r="I42" s="17" t="inlineStr">
        <is>
          <t>In Progress</t>
        </is>
      </c>
      <c r="J42" s="4" t="inlineStr"/>
    </row>
    <row r="43" ht="26" customHeight="1">
      <c r="A43" s="3" t="inlineStr">
        <is>
          <t>2397922</t>
        </is>
      </c>
      <c r="B43" s="4" t="inlineStr">
        <is>
          <t>Enhance filter for Elite Fund</t>
        </is>
      </c>
      <c r="C43" s="3" t="inlineStr"/>
      <c r="D43" s="19" t="inlineStr">
        <is>
          <t>Medium</t>
        </is>
      </c>
      <c r="E43" s="3" t="inlineStr">
        <is>
          <t>1 team</t>
        </is>
      </c>
      <c r="F43" s="3" t="inlineStr"/>
      <c r="G43" s="20" t="inlineStr">
        <is>
          <t>—</t>
        </is>
      </c>
      <c r="H43" s="20" t="inlineStr">
        <is>
          <t>—</t>
        </is>
      </c>
      <c r="I43" s="17" t="inlineStr">
        <is>
          <t>In Progress</t>
        </is>
      </c>
      <c r="J43" s="4" t="inlineStr"/>
    </row>
    <row r="44" ht="26" customHeight="1">
      <c r="A44" s="3" t="inlineStr">
        <is>
          <t>2400512</t>
        </is>
      </c>
      <c r="B44" s="4" t="inlineStr">
        <is>
          <t>Upgrade the iOS and Android SDKs in accordance with the requirements of Apple and Google</t>
        </is>
      </c>
      <c r="C44" s="3" t="inlineStr"/>
      <c r="D44" s="19" t="inlineStr">
        <is>
          <t>Medium</t>
        </is>
      </c>
      <c r="E44" s="3" t="inlineStr">
        <is>
          <t>1 team</t>
        </is>
      </c>
      <c r="F44" s="3" t="inlineStr"/>
      <c r="G44" s="20" t="inlineStr">
        <is>
          <t>—</t>
        </is>
      </c>
      <c r="H44" s="20" t="inlineStr">
        <is>
          <t>—</t>
        </is>
      </c>
      <c r="I44" s="17" t="inlineStr">
        <is>
          <t>In Progress</t>
        </is>
      </c>
      <c r="J44" s="4" t="inlineStr"/>
    </row>
    <row r="45" ht="26" customHeight="1">
      <c r="A45" s="3" t="inlineStr">
        <is>
          <t>2403987</t>
        </is>
      </c>
      <c r="B45" s="4" t="inlineStr">
        <is>
          <t>Loyalty System - Phase 1</t>
        </is>
      </c>
      <c r="C45" s="3" t="inlineStr">
        <is>
          <t>SS</t>
        </is>
      </c>
      <c r="D45" s="19" t="inlineStr">
        <is>
          <t>Medium</t>
        </is>
      </c>
      <c r="E45" s="3" t="inlineStr">
        <is>
          <t>1 team</t>
        </is>
      </c>
      <c r="F45" s="20" t="inlineStr">
        <is>
          <t>—</t>
        </is>
      </c>
      <c r="G45" s="3" t="inlineStr"/>
      <c r="H45" s="20" t="inlineStr">
        <is>
          <t>—</t>
        </is>
      </c>
      <c r="I45" s="17" t="inlineStr">
        <is>
          <t>In Progress</t>
        </is>
      </c>
      <c r="J45" s="4" t="inlineStr"/>
    </row>
    <row r="46" ht="26" customHeight="1">
      <c r="A46" s="3" t="inlineStr">
        <is>
          <t>2423945</t>
        </is>
      </c>
      <c r="B46" s="4" t="inlineStr">
        <is>
          <t>Enhance the promotional declaration feature on the Admin Portal</t>
        </is>
      </c>
      <c r="C46" s="3" t="inlineStr">
        <is>
          <t>SS</t>
        </is>
      </c>
      <c r="D46" s="19" t="inlineStr">
        <is>
          <t>Medium</t>
        </is>
      </c>
      <c r="E46" s="3" t="inlineStr">
        <is>
          <t>1 team</t>
        </is>
      </c>
      <c r="F46" s="20" t="inlineStr">
        <is>
          <t>—</t>
        </is>
      </c>
      <c r="G46" s="3" t="inlineStr"/>
      <c r="H46" s="20" t="inlineStr">
        <is>
          <t>—</t>
        </is>
      </c>
      <c r="I46" s="17" t="inlineStr">
        <is>
          <t>In Progress</t>
        </is>
      </c>
      <c r="J46" s="4" t="inlineStr"/>
    </row>
    <row r="47" ht="26" customHeight="1">
      <c r="A47" s="3" t="inlineStr">
        <is>
          <t>2425861</t>
        </is>
      </c>
      <c r="B47" s="4" t="inlineStr">
        <is>
          <t>Research Portal: Phase 2</t>
        </is>
      </c>
      <c r="C47" s="3" t="inlineStr">
        <is>
          <t>RS</t>
        </is>
      </c>
      <c r="D47" s="19" t="inlineStr">
        <is>
          <t>Medium</t>
        </is>
      </c>
      <c r="E47" s="3" t="inlineStr">
        <is>
          <t>1 team</t>
        </is>
      </c>
      <c r="F47" s="20" t="inlineStr">
        <is>
          <t>—</t>
        </is>
      </c>
      <c r="G47" s="3" t="inlineStr"/>
      <c r="H47" s="20" t="inlineStr">
        <is>
          <t>—</t>
        </is>
      </c>
      <c r="I47" s="17" t="inlineStr">
        <is>
          <t>In Progress</t>
        </is>
      </c>
      <c r="J47" s="4" t="inlineStr"/>
    </row>
    <row r="48" ht="26" customHeight="1">
      <c r="A48" s="3" t="inlineStr">
        <is>
          <t>2426812</t>
        </is>
      </c>
      <c r="B48" s="4" t="inlineStr">
        <is>
          <t>Merge CCC &amp; RS chatbot into one Master Client Chatbot</t>
        </is>
      </c>
      <c r="C48" s="3" t="inlineStr">
        <is>
          <t>MKT</t>
        </is>
      </c>
      <c r="D48" s="19" t="inlineStr">
        <is>
          <t>Medium</t>
        </is>
      </c>
      <c r="E48" s="3" t="inlineStr">
        <is>
          <t>1 team</t>
        </is>
      </c>
      <c r="F48" s="20" t="inlineStr">
        <is>
          <t>—</t>
        </is>
      </c>
      <c r="G48" s="3" t="inlineStr"/>
      <c r="H48" s="20" t="inlineStr">
        <is>
          <t>—</t>
        </is>
      </c>
      <c r="I48" s="17" t="inlineStr">
        <is>
          <t>In Progress</t>
        </is>
      </c>
      <c r="J48" s="4" t="inlineStr"/>
    </row>
    <row r="49" ht="26" customHeight="1">
      <c r="A49" s="3" t="inlineStr">
        <is>
          <t>2437753</t>
        </is>
      </c>
      <c r="B49" s="4" t="inlineStr">
        <is>
          <t>AF &amp; LN Duplication &amp; Bulk Import Function</t>
        </is>
      </c>
      <c r="C49" s="3" t="inlineStr">
        <is>
          <t>SS</t>
        </is>
      </c>
      <c r="D49" s="19" t="inlineStr">
        <is>
          <t>Medium</t>
        </is>
      </c>
      <c r="E49" s="3" t="inlineStr">
        <is>
          <t>1 team</t>
        </is>
      </c>
      <c r="F49" s="20" t="inlineStr">
        <is>
          <t>—</t>
        </is>
      </c>
      <c r="G49" s="20" t="inlineStr">
        <is>
          <t>—</t>
        </is>
      </c>
      <c r="H49" s="3" t="inlineStr"/>
      <c r="I49" s="17" t="inlineStr">
        <is>
          <t>In Progress</t>
        </is>
      </c>
      <c r="J49" s="4" t="inlineStr"/>
    </row>
    <row r="50" ht="26" customHeight="1">
      <c r="A50" s="3" t="inlineStr">
        <is>
          <t>2443571</t>
        </is>
      </c>
      <c r="B50" s="4" t="inlineStr">
        <is>
          <t>Restrict using PHS email address for securities transactions</t>
        </is>
      </c>
      <c r="C50" s="3" t="inlineStr">
        <is>
          <t>SS</t>
        </is>
      </c>
      <c r="D50" s="19" t="inlineStr">
        <is>
          <t>Medium</t>
        </is>
      </c>
      <c r="E50" s="3" t="inlineStr">
        <is>
          <t>1 team</t>
        </is>
      </c>
      <c r="F50" s="20" t="inlineStr">
        <is>
          <t>—</t>
        </is>
      </c>
      <c r="G50" s="20" t="inlineStr">
        <is>
          <t>—</t>
        </is>
      </c>
      <c r="H50" s="3" t="inlineStr"/>
      <c r="I50" s="17" t="inlineStr">
        <is>
          <t>In Progress</t>
        </is>
      </c>
      <c r="J50" s="4" t="inlineStr"/>
    </row>
    <row r="51" ht="26" customHeight="1">
      <c r="A51" s="3" t="inlineStr">
        <is>
          <t>2446191</t>
        </is>
      </c>
      <c r="B51" s="4" t="inlineStr">
        <is>
          <t>VCF0051 – Adjust Report Extraction Conditions</t>
        </is>
      </c>
      <c r="C51" s="3" t="inlineStr">
        <is>
          <t>MSD</t>
        </is>
      </c>
      <c r="D51" s="19" t="inlineStr">
        <is>
          <t>Medium</t>
        </is>
      </c>
      <c r="E51" s="3" t="inlineStr">
        <is>
          <t>1 team</t>
        </is>
      </c>
      <c r="F51" s="20" t="inlineStr">
        <is>
          <t>—</t>
        </is>
      </c>
      <c r="G51" s="20" t="inlineStr">
        <is>
          <t>—</t>
        </is>
      </c>
      <c r="H51" s="3" t="inlineStr"/>
      <c r="I51" s="17" t="inlineStr">
        <is>
          <t>In Progress</t>
        </is>
      </c>
      <c r="J51" s="4" t="inlineStr"/>
    </row>
    <row r="52" ht="26" customHeight="1">
      <c r="A52" s="3" t="inlineStr">
        <is>
          <t>2482578</t>
        </is>
      </c>
      <c r="B52" s="4" t="inlineStr">
        <is>
          <t>Upgrade the QR Code Deposit Function on the PHS App</t>
        </is>
      </c>
      <c r="C52" s="3" t="inlineStr">
        <is>
          <t>AC</t>
        </is>
      </c>
      <c r="D52" s="19" t="inlineStr">
        <is>
          <t>Medium</t>
        </is>
      </c>
      <c r="E52" s="3" t="inlineStr">
        <is>
          <t>1 team</t>
        </is>
      </c>
      <c r="F52" s="3" t="inlineStr"/>
      <c r="G52" s="20" t="inlineStr">
        <is>
          <t>—</t>
        </is>
      </c>
      <c r="H52" s="20" t="inlineStr">
        <is>
          <t>—</t>
        </is>
      </c>
      <c r="I52" s="17" t="inlineStr">
        <is>
          <t>In Progress</t>
        </is>
      </c>
      <c r="J52" s="4" t="inlineStr"/>
    </row>
    <row r="53" ht="26" customHeight="1">
      <c r="A53" s="3" t="inlineStr">
        <is>
          <t>2077975</t>
        </is>
      </c>
      <c r="B53" s="4" t="inlineStr">
        <is>
          <t>Collaboration with Woori Bank Proposal</t>
        </is>
      </c>
      <c r="C53" s="3" t="inlineStr">
        <is>
          <t>MKT</t>
        </is>
      </c>
      <c r="D53" s="23" t="inlineStr">
        <is>
          <t>Low</t>
        </is>
      </c>
      <c r="E53" s="3" t="inlineStr">
        <is>
          <t>1 team</t>
        </is>
      </c>
      <c r="F53" s="3" t="inlineStr"/>
      <c r="G53" s="20" t="inlineStr">
        <is>
          <t>—</t>
        </is>
      </c>
      <c r="H53" s="20" t="inlineStr">
        <is>
          <t>—</t>
        </is>
      </c>
      <c r="I53" s="17" t="inlineStr">
        <is>
          <t>In Progress</t>
        </is>
      </c>
      <c r="J53" s="4" t="inlineStr"/>
    </row>
    <row r="54" ht="26" customHeight="1">
      <c r="A54" s="3" t="inlineStr">
        <is>
          <t>2212813</t>
        </is>
      </c>
      <c r="B54" s="4" t="inlineStr">
        <is>
          <t>Derivatives Order Placement UI Enhancement</t>
        </is>
      </c>
      <c r="C54" s="3" t="inlineStr">
        <is>
          <t>SS</t>
        </is>
      </c>
      <c r="D54" s="23" t="inlineStr">
        <is>
          <t>Low</t>
        </is>
      </c>
      <c r="E54" s="3" t="inlineStr">
        <is>
          <t>1 team</t>
        </is>
      </c>
      <c r="F54" s="3" t="inlineStr"/>
      <c r="G54" s="20" t="inlineStr">
        <is>
          <t>—</t>
        </is>
      </c>
      <c r="H54" s="20" t="inlineStr">
        <is>
          <t>—</t>
        </is>
      </c>
      <c r="I54" s="17" t="inlineStr">
        <is>
          <t>In Progress</t>
        </is>
      </c>
      <c r="J54" s="4" t="inlineStr"/>
    </row>
    <row r="55" ht="26" customHeight="1">
      <c r="A55" s="3" t="inlineStr">
        <is>
          <t>2302697</t>
        </is>
      </c>
      <c r="B55" s="4" t="inlineStr">
        <is>
          <t>Add content regarding personal data protection</t>
        </is>
      </c>
      <c r="C55" s="3" t="inlineStr">
        <is>
          <t>LG</t>
        </is>
      </c>
      <c r="D55" s="23" t="inlineStr">
        <is>
          <t>Low</t>
        </is>
      </c>
      <c r="E55" s="3" t="inlineStr">
        <is>
          <t>1 team</t>
        </is>
      </c>
      <c r="F55" s="3" t="inlineStr"/>
      <c r="G55" s="20" t="inlineStr">
        <is>
          <t>—</t>
        </is>
      </c>
      <c r="H55" s="20" t="inlineStr">
        <is>
          <t>—</t>
        </is>
      </c>
      <c r="I55" s="17" t="inlineStr">
        <is>
          <t>In Progress</t>
        </is>
      </c>
      <c r="J55" s="4" t="inlineStr"/>
    </row>
    <row r="56" ht="26" customHeight="1">
      <c r="A56" s="3" t="inlineStr">
        <is>
          <t>2317336</t>
        </is>
      </c>
      <c r="B56" s="4" t="inlineStr">
        <is>
          <t>Proposal to implement an automated cash dividend reinvestment service (Auto-DRIP) on PHS Elite app</t>
        </is>
      </c>
      <c r="C56" s="3" t="inlineStr">
        <is>
          <t>AC</t>
        </is>
      </c>
      <c r="D56" s="23" t="inlineStr">
        <is>
          <t>Low</t>
        </is>
      </c>
      <c r="E56" s="3" t="inlineStr">
        <is>
          <t>1 team</t>
        </is>
      </c>
      <c r="F56" s="3" t="inlineStr"/>
      <c r="G56" s="20" t="inlineStr">
        <is>
          <t>—</t>
        </is>
      </c>
      <c r="H56" s="20" t="inlineStr">
        <is>
          <t>—</t>
        </is>
      </c>
      <c r="I56" s="17" t="inlineStr">
        <is>
          <t>In Progress</t>
        </is>
      </c>
      <c r="J56" s="4" t="inlineStr"/>
    </row>
    <row r="57" ht="26" customHeight="1">
      <c r="A57" s="3" t="inlineStr">
        <is>
          <t>2329940</t>
        </is>
      </c>
      <c r="B57" s="4" t="inlineStr">
        <is>
          <t>AI Chatbot Integration for Elite Mobile App &amp; Xpro Web Trading</t>
        </is>
      </c>
      <c r="C57" s="3" t="inlineStr">
        <is>
          <t>RS</t>
        </is>
      </c>
      <c r="D57" s="23" t="inlineStr">
        <is>
          <t>Low</t>
        </is>
      </c>
      <c r="E57" s="3" t="inlineStr">
        <is>
          <t>1 team</t>
        </is>
      </c>
      <c r="F57" s="3" t="inlineStr"/>
      <c r="G57" s="20" t="inlineStr">
        <is>
          <t>—</t>
        </is>
      </c>
      <c r="H57" s="20" t="inlineStr">
        <is>
          <t>—</t>
        </is>
      </c>
      <c r="I57" s="17" t="inlineStr">
        <is>
          <t>In Progress</t>
        </is>
      </c>
      <c r="J57" s="4" t="inlineStr"/>
    </row>
    <row r="59">
      <c r="A59" s="12" t="inlineStr">
        <is>
          <t>Summary</t>
        </is>
      </c>
    </row>
    <row r="60">
      <c r="A60" s="21" t="inlineStr">
        <is>
          <t>Total unique CRs:</t>
        </is>
      </c>
      <c r="B60" s="22">
        <f>COUNTA(A4:A57)</f>
        <v/>
      </c>
    </row>
    <row r="61">
      <c r="A61" s="21" t="inlineStr">
        <is>
          <t>Multi-team CRs:</t>
        </is>
      </c>
      <c r="B61" s="22">
        <f>COUNTIF(E4:E57,"2 teams")+COUNTIF(E4:E57,"3 teams")</f>
        <v/>
      </c>
    </row>
    <row r="62">
      <c r="A62" s="21" t="inlineStr">
        <is>
          <t>CRs with Overdue status:</t>
        </is>
      </c>
      <c r="B62" s="22">
        <f>COUNTIF(I4:I57,"Overdue")</f>
        <v/>
      </c>
    </row>
    <row r="63">
      <c r="A63" s="21" t="inlineStr">
        <is>
          <t>CRs fully Done:</t>
        </is>
      </c>
      <c r="B63" s="22">
        <f>COUNTIF(I4:I57,"Done")</f>
        <v/>
      </c>
    </row>
    <row r="64">
      <c r="A64" s="21" t="inlineStr">
        <is>
          <t>CRs Partially Done:</t>
        </is>
      </c>
      <c r="B64" s="22">
        <f>COUNTIF(I4:I57,"Partially Done")</f>
        <v/>
      </c>
    </row>
    <row r="65">
      <c r="A65" s="21" t="inlineStr">
        <is>
          <t>CRs In Progress:</t>
        </is>
      </c>
      <c r="B65" s="22">
        <f>COUNTIF(I4:I57,"In Progress")</f>
        <v/>
      </c>
    </row>
    <row r="66">
      <c r="A66" s="21" t="inlineStr">
        <is>
          <t>CRs Blocked:</t>
        </is>
      </c>
      <c r="B66" s="22">
        <f>COUNTIF(I4:I57,"Blocked")</f>
        <v/>
      </c>
    </row>
  </sheetData>
  <mergeCells count="3">
    <mergeCell ref="A59:J59"/>
    <mergeCell ref="A1:J1"/>
    <mergeCell ref="A2:J2"/>
  </mergeCells>
  <dataValidations count="4">
    <dataValidation sqref="F4:H50" showDropDown="0" showInputMessage="0" showErrorMessage="0" allowBlank="1" type="list">
      <formula1>"—,Todo,Doing,Done,Overdue,Blocked"</formula1>
    </dataValidation>
    <dataValidation sqref="I4:I50" showDropDown="0" showInputMessage="0" showErrorMessage="0" allowBlank="1" type="list">
      <formula1>"Not Started,In Progress,Partially Done,Done,Overdue,Blocked"</formula1>
    </dataValidation>
    <dataValidation sqref="D4:D50" showDropDown="0" showInputMessage="0" showErrorMessage="0" allowBlank="1" type="list">
      <formula1>"Critical,High,Medium,Low"</formula1>
    </dataValidation>
    <dataValidation sqref="E4:E50" showDropDown="0" showInputMessage="0" showErrorMessage="0" allowBlank="1" type="list">
      <formula1>"1 team,2 teams,3 teams"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2026-06-05T03:42:09Z</dcterms:created>
  <dcterms:modified xmlns:dcterms="http://purl.org/dc/terms/" xmlns:xsi="http://www.w3.org/2001/XMLSchema-instance" xsi:type="dcterms:W3CDTF">2026-06-05T04:36:02Z</dcterms:modified>
</cp:coreProperties>
</file>